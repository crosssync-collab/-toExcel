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Download\積算書読込\"/>
    </mc:Choice>
  </mc:AlternateContent>
  <xr:revisionPtr revIDLastSave="0" documentId="13_ncr:1_{68508883-C8AC-4046-BB10-8597BAC7A2E7}" xr6:coauthVersionLast="47" xr6:coauthVersionMax="47" xr10:uidLastSave="{00000000-0000-0000-0000-000000000000}"/>
  <bookViews>
    <workbookView xWindow="5805" yWindow="2385" windowWidth="22485" windowHeight="13035" xr2:uid="{00000000-000D-0000-FFFF-FFFF00000000}"/>
  </bookViews>
  <sheets>
    <sheet name="メニュー" sheetId="2" r:id="rId1"/>
    <sheet name="比較・外壁差額" sheetId="4" r:id="rId2"/>
    <sheet name="クリア" sheetId="6" state="hidden" r:id="rId3"/>
  </sheets>
  <externalReferences>
    <externalReference r:id="rId4"/>
  </externalReferences>
  <definedNames>
    <definedName name="__IntlFixup" hidden="1">TRUE</definedName>
    <definedName name="__IntlFixupTable" hidden="1">'[1]#REF'!$A$3:$AB$10</definedName>
    <definedName name="_Fill" hidden="1">#REF!</definedName>
    <definedName name="_xlnm.Print_Area" localSheetId="1">比較・外壁差額!$A$1:$H$57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4" l="1"/>
  <c r="H60" i="4"/>
  <c r="H55" i="4"/>
  <c r="H40" i="4"/>
  <c r="I21" i="4"/>
  <c r="H49" i="4"/>
  <c r="I43" i="4"/>
  <c r="I33" i="4"/>
  <c r="I61" i="4"/>
  <c r="H61" i="4"/>
  <c r="C28" i="4"/>
  <c r="H43" i="4"/>
  <c r="H31" i="4"/>
  <c r="C22" i="4"/>
  <c r="I24" i="4"/>
  <c r="I29" i="4"/>
  <c r="I30" i="4"/>
  <c r="H39" i="4"/>
  <c r="I54" i="4"/>
  <c r="H14" i="4"/>
  <c r="H15" i="4"/>
  <c r="I27" i="4"/>
  <c r="I35" i="4"/>
  <c r="C24" i="4"/>
  <c r="C37" i="4"/>
  <c r="H29" i="4"/>
  <c r="H9" i="4"/>
  <c r="H20" i="4"/>
  <c r="I40" i="4"/>
  <c r="I58" i="4"/>
  <c r="I13" i="4"/>
  <c r="C34" i="4"/>
  <c r="I32" i="4"/>
  <c r="H17" i="4"/>
  <c r="I25" i="4"/>
  <c r="H11" i="4"/>
  <c r="H27" i="4"/>
  <c r="I7" i="4"/>
  <c r="I48" i="4"/>
  <c r="I63" i="4"/>
  <c r="I46" i="4"/>
  <c r="H57" i="4"/>
  <c r="C29" i="4"/>
  <c r="H35" i="4"/>
  <c r="C26" i="4"/>
  <c r="H37" i="4"/>
  <c r="H12" i="4"/>
  <c r="I41" i="4"/>
  <c r="I39" i="4"/>
  <c r="H7" i="4"/>
  <c r="C23" i="4"/>
  <c r="H25" i="4"/>
  <c r="H42" i="4"/>
  <c r="B37" i="4"/>
  <c r="H30" i="4"/>
  <c r="I42" i="4"/>
  <c r="B33" i="4"/>
  <c r="B38" i="4"/>
  <c r="H5" i="4"/>
  <c r="H19" i="4"/>
  <c r="H33" i="4"/>
  <c r="I38" i="4"/>
  <c r="H56" i="4"/>
  <c r="B34" i="4"/>
  <c r="C35" i="4"/>
  <c r="H38" i="4"/>
  <c r="I51" i="4"/>
  <c r="H46" i="4"/>
  <c r="H16" i="4"/>
  <c r="H47" i="4"/>
  <c r="H8" i="4"/>
  <c r="H54" i="4"/>
  <c r="I36" i="4"/>
  <c r="H2" i="4"/>
  <c r="C38" i="4"/>
  <c r="H24" i="4"/>
  <c r="H41" i="4"/>
  <c r="H62" i="4"/>
  <c r="H6" i="4"/>
  <c r="I14" i="4"/>
  <c r="H52" i="4"/>
  <c r="H53" i="4"/>
  <c r="H48" i="4"/>
  <c r="I6" i="4"/>
  <c r="I31" i="4"/>
  <c r="H13" i="4"/>
  <c r="I44" i="4"/>
  <c r="I57" i="4"/>
  <c r="I59" i="4"/>
  <c r="H58" i="4"/>
  <c r="I55" i="4"/>
  <c r="I8" i="4"/>
  <c r="I20" i="4"/>
  <c r="C32" i="4"/>
  <c r="H59" i="4"/>
  <c r="H4" i="4"/>
  <c r="C21" i="4"/>
  <c r="H36" i="4"/>
  <c r="I28" i="4"/>
  <c r="I49" i="4"/>
  <c r="C30" i="4"/>
  <c r="C36" i="4"/>
  <c r="H28" i="4"/>
  <c r="I19" i="4"/>
  <c r="I62" i="4"/>
  <c r="H63" i="4"/>
  <c r="I9" i="4"/>
  <c r="H51" i="4"/>
  <c r="C27" i="4"/>
  <c r="C33" i="4"/>
  <c r="I47" i="4"/>
  <c r="H22" i="4"/>
  <c r="H32" i="4"/>
  <c r="I53" i="4"/>
  <c r="H26" i="4"/>
  <c r="H21" i="4"/>
  <c r="I15" i="4"/>
  <c r="I5" i="4"/>
  <c r="C31" i="4"/>
  <c r="H18" i="4"/>
  <c r="H3" i="4"/>
  <c r="H50" i="4"/>
  <c r="I45" i="4"/>
  <c r="H44" i="4"/>
  <c r="H45" i="4"/>
  <c r="C20" i="4"/>
  <c r="I52" i="4"/>
  <c r="I50" i="4"/>
  <c r="H34" i="4"/>
  <c r="I60" i="4"/>
  <c r="H10" i="4"/>
  <c r="I23" i="4"/>
  <c r="H23" i="4"/>
  <c r="I56" i="4"/>
  <c r="W14" i="4" l="1"/>
  <c r="V14" i="4"/>
  <c r="D34" i="4"/>
  <c r="D33" i="4"/>
  <c r="I3" i="4"/>
  <c r="I10" i="4"/>
  <c r="I12" i="4"/>
  <c r="I2" i="4"/>
  <c r="B36" i="4"/>
  <c r="I17" i="4"/>
  <c r="I16" i="4"/>
  <c r="C25" i="4"/>
  <c r="B31" i="4"/>
  <c r="B32" i="4"/>
  <c r="I18" i="4"/>
  <c r="B35" i="4"/>
  <c r="I34" i="4"/>
  <c r="I37" i="4"/>
  <c r="I26" i="4"/>
  <c r="I11" i="4"/>
  <c r="I22" i="4"/>
  <c r="I1" i="4" l="1"/>
  <c r="K1" i="4" s="1" a="1"/>
  <c r="K1" i="4" s="1"/>
  <c r="U14" i="4"/>
  <c r="W13" i="4"/>
  <c r="D31" i="4"/>
  <c r="D32" i="4"/>
  <c r="B29" i="4"/>
  <c r="B30" i="4"/>
  <c r="P2" i="4" l="1"/>
  <c r="V13" i="4"/>
  <c r="U13" i="4"/>
  <c r="Q8" i="4"/>
  <c r="Q11" i="4"/>
  <c r="Q10" i="4"/>
  <c r="Q4" i="4"/>
  <c r="Q9" i="4"/>
  <c r="Q7" i="4"/>
  <c r="Q5" i="4"/>
  <c r="Q3" i="4"/>
  <c r="Q6" i="4"/>
  <c r="P8" i="4"/>
  <c r="Q2" i="4"/>
  <c r="P10" i="4"/>
  <c r="P11" i="4"/>
  <c r="P9" i="4"/>
  <c r="P6" i="4"/>
  <c r="P7" i="4"/>
  <c r="P4" i="4"/>
  <c r="P5" i="4"/>
  <c r="P3" i="4"/>
  <c r="D30" i="4"/>
  <c r="D29" i="4"/>
  <c r="B28" i="4"/>
  <c r="C2" i="4"/>
  <c r="B27" i="4"/>
  <c r="O10" i="4" l="1"/>
  <c r="O11" i="4" s="1"/>
  <c r="O6" i="4"/>
  <c r="O8" i="4" s="1"/>
  <c r="O7" i="4"/>
  <c r="O9" i="4"/>
  <c r="O3" i="4"/>
  <c r="O5" i="4"/>
  <c r="O4" i="4"/>
  <c r="O2" i="4"/>
  <c r="D27" i="4"/>
  <c r="D28" i="4"/>
  <c r="C12" i="4"/>
  <c r="C16" i="4"/>
  <c r="B26" i="4"/>
  <c r="C10" i="4"/>
  <c r="C11" i="4"/>
  <c r="C4" i="4"/>
  <c r="C8" i="4"/>
  <c r="C13" i="4"/>
  <c r="B20" i="4"/>
  <c r="C7" i="4"/>
  <c r="C19" i="4"/>
  <c r="C15" i="4"/>
  <c r="C18" i="4"/>
  <c r="C14" i="4"/>
  <c r="C9" i="4"/>
  <c r="C3" i="4"/>
  <c r="B22" i="4"/>
  <c r="C6" i="4"/>
  <c r="B25" i="4"/>
  <c r="C5" i="4"/>
  <c r="C17" i="4"/>
  <c r="D20" i="4" l="1"/>
  <c r="D22" i="4"/>
  <c r="R2" i="4"/>
  <c r="S2" i="4" s="1"/>
  <c r="R11" i="4"/>
  <c r="R10" i="4"/>
  <c r="S10" i="4" s="1"/>
  <c r="R9" i="4"/>
  <c r="S9" i="4" s="1"/>
  <c r="R8" i="4"/>
  <c r="R7" i="4"/>
  <c r="S7" i="4" s="1"/>
  <c r="R6" i="4"/>
  <c r="S6" i="4" s="1"/>
  <c r="R5" i="4"/>
  <c r="S5" i="4" s="1"/>
  <c r="R4" i="4"/>
  <c r="S4" i="4" s="1"/>
  <c r="R3" i="4"/>
  <c r="S3" i="4" s="1"/>
  <c r="D25" i="4"/>
  <c r="D26" i="4"/>
  <c r="B24" i="4"/>
  <c r="B23" i="4"/>
  <c r="D24" i="4" l="1"/>
  <c r="D2" i="4"/>
  <c r="E2" i="4"/>
  <c r="S8" i="4"/>
  <c r="S11" i="4"/>
  <c r="D23" i="4"/>
  <c r="B21" i="4"/>
  <c r="F2" i="4" l="1"/>
  <c r="D21" i="4"/>
  <c r="B19" i="4"/>
  <c r="B11" i="4"/>
  <c r="B2" i="4"/>
  <c r="D11" i="4" l="1"/>
  <c r="B14" i="4"/>
  <c r="B8" i="4"/>
  <c r="B5" i="4"/>
  <c r="B7" i="4"/>
  <c r="D14" i="4" l="1"/>
  <c r="B13" i="4"/>
  <c r="D13" i="4" l="1"/>
  <c r="B15" i="4"/>
  <c r="B9" i="4"/>
  <c r="B6" i="4"/>
  <c r="B10" i="4"/>
  <c r="B3" i="4"/>
  <c r="B18" i="4"/>
  <c r="B17" i="4"/>
  <c r="D15" i="4" l="1"/>
  <c r="B12" i="4"/>
  <c r="B4" i="4"/>
  <c r="D12" i="4" l="1"/>
  <c r="B16" i="4"/>
  <c r="D16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A8632B-57C2-4542-964E-747DDA808C7C}" keepAlive="1" name="接続" type="5" refreshedVersion="0" background="1">
    <dbPr connection="Provider=Microsoft.Mashup.OleDb.1;Data Source=$Workbook$;Location=PDFImport_260319_202624;Extended Properties=&quot;&quot;" commandType="0"/>
  </connection>
  <connection id="2" xr16:uid="{CCDFE5AD-8903-4377-9C99-1920BA5435E9}" keepAlive="1" name="接続1" type="5" refreshedVersion="0" background="1">
    <dbPr connection="Provider=Microsoft.Mashup.OleDb.1;Data Source=$Workbook$;Location=PDFImport_260319_203244;Extended Properties=&quot;&quot;" commandType="0"/>
  </connection>
  <connection id="3" xr16:uid="{6C15BFE3-2F54-487E-8FAC-2D89E40C0150}" keepAlive="1" name="接続10" type="5" refreshedVersion="0" background="1">
    <dbPr connection="Provider=Microsoft.Mashup.OleDb.1;Data Source=$Workbook$;Location=PDFImport_260320_145120;Extended Properties=&quot;&quot;" commandType="0"/>
  </connection>
  <connection id="4" xr16:uid="{DC24D2A3-6F34-4431-B7BC-6F2B60A792AF}" keepAlive="1" name="接続100" type="5" refreshedVersion="0" background="1">
    <dbPr connection="Provider=Microsoft.Mashup.OleDb.1;Data Source=$Workbook$;Location=PDFImport_260325_005151;Extended Properties=&quot;&quot;" commandType="0"/>
  </connection>
  <connection id="5" xr16:uid="{715F64FA-FF3A-48B8-B34D-1F41FFC1FEE6}" keepAlive="1" name="接続101" type="5" refreshedVersion="0" background="1">
    <dbPr connection="Provider=Microsoft.Mashup.OleDb.1;Data Source=$Workbook$;Location=PDFImport_260325_005248;Extended Properties=&quot;&quot;" commandType="0"/>
  </connection>
  <connection id="6" xr16:uid="{96EAC612-44B5-4079-8AFB-3CF1C9DD6A92}" keepAlive="1" name="接続102" type="5" refreshedVersion="0" background="1">
    <dbPr connection="Provider=Microsoft.Mashup.OleDb.1;Data Source=$Workbook$;Location=PDFImport_260325_011308;Extended Properties=&quot;&quot;" commandType="0"/>
  </connection>
  <connection id="7" xr16:uid="{71892A2B-92D8-4E52-A7FD-3CF957BDB19F}" keepAlive="1" name="接続103" type="5" refreshedVersion="0" background="1">
    <dbPr connection="Provider=Microsoft.Mashup.OleDb.1;Data Source=$Workbook$;Location=PDFImport_260325_011426;Extended Properties=&quot;&quot;" commandType="0"/>
  </connection>
  <connection id="8" xr16:uid="{A337346E-9DBE-4245-A8FA-26EC0F56D378}" keepAlive="1" name="接続104" type="5" refreshedVersion="0" background="1">
    <dbPr connection="Provider=Microsoft.Mashup.OleDb.1;Data Source=$Workbook$;Location=PDFImport_260325_011455;Extended Properties=&quot;&quot;" commandType="0"/>
  </connection>
  <connection id="9" xr16:uid="{E475B8F1-0C43-4482-A5F1-8B57149639E9}" keepAlive="1" name="接続105" type="5" refreshedVersion="0" background="1">
    <dbPr connection="Provider=Microsoft.Mashup.OleDb.1;Data Source=$Workbook$;Location=PDFImport_260325_011516;Extended Properties=&quot;&quot;" commandType="0"/>
  </connection>
  <connection id="10" xr16:uid="{65A3DD06-A459-4F32-A01A-B4E7DF606305}" keepAlive="1" name="接続106" type="5" refreshedVersion="0" background="1">
    <dbPr connection="Provider=Microsoft.Mashup.OleDb.1;Data Source=$Workbook$;Location=PDFImport_260325_011550;Extended Properties=&quot;&quot;" commandType="0"/>
  </connection>
  <connection id="11" xr16:uid="{1D0853B7-5782-43F4-B51A-028A7B87E365}" keepAlive="1" name="接続107" type="5" refreshedVersion="0" background="1">
    <dbPr connection="Provider=Microsoft.Mashup.OleDb.1;Data Source=$Workbook$;Location=PDFImport_260325_011652;Extended Properties=&quot;&quot;" commandType="0"/>
  </connection>
  <connection id="12" xr16:uid="{B4A747D3-C711-43AF-B4D3-974B3722F8A4}" keepAlive="1" name="接続108" type="5" refreshedVersion="0" background="1">
    <dbPr connection="Provider=Microsoft.Mashup.OleDb.1;Data Source=$Workbook$;Location=PDFImport_260325_011752;Extended Properties=&quot;&quot;" commandType="0"/>
  </connection>
  <connection id="13" xr16:uid="{29A2440F-9E62-40B5-85D9-7F2F366B5053}" keepAlive="1" name="接続109" type="5" refreshedVersion="0" background="1">
    <dbPr connection="Provider=Microsoft.Mashup.OleDb.1;Data Source=$Workbook$;Location=PDFImport_260325_011807;Extended Properties=&quot;&quot;" commandType="0"/>
  </connection>
  <connection id="14" xr16:uid="{D52523B0-7247-46DA-B7EF-6384EA606272}" keepAlive="1" name="接続11" type="5" refreshedVersion="0" background="1">
    <dbPr connection="Provider=Microsoft.Mashup.OleDb.1;Data Source=$Workbook$;Location=PDFImport_260320_151230;Extended Properties=&quot;&quot;" commandType="0"/>
  </connection>
  <connection id="15" xr16:uid="{4C2F5969-D125-4D41-AFDA-5C301CE697A4}" keepAlive="1" name="接続110" type="5" refreshedVersion="0" background="1">
    <dbPr connection="Provider=Microsoft.Mashup.OleDb.1;Data Source=$Workbook$;Location=PDFImport_260325_011831;Extended Properties=&quot;&quot;" commandType="0"/>
  </connection>
  <connection id="16" xr16:uid="{3AECFC74-A761-4EDD-9775-E1770C0DD5FD}" keepAlive="1" name="接続111" type="5" refreshedVersion="0" background="1">
    <dbPr connection="Provider=Microsoft.Mashup.OleDb.1;Data Source=$Workbook$;Location=PDFImport_260325_012408;Extended Properties=&quot;&quot;" commandType="0"/>
  </connection>
  <connection id="17" xr16:uid="{40E8D62D-CF3A-4A1F-AEC7-DBD84264EF7E}" keepAlive="1" name="接続112" type="5" refreshedVersion="0" background="1">
    <dbPr connection="Provider=Microsoft.Mashup.OleDb.1;Data Source=$Workbook$;Location=PDFImport_260325_012623;Extended Properties=&quot;&quot;" commandType="0"/>
  </connection>
  <connection id="18" xr16:uid="{282F9146-4355-4B37-BB98-433209D902EC}" keepAlive="1" name="接続113" type="5" refreshedVersion="0" background="1">
    <dbPr connection="Provider=Microsoft.Mashup.OleDb.1;Data Source=$Workbook$;Location=PDFImport_260325_013013;Extended Properties=&quot;&quot;" commandType="0"/>
  </connection>
  <connection id="19" xr16:uid="{F3DD7C2E-26B7-46A8-84C1-AE48B212C098}" keepAlive="1" name="接続114" type="5" refreshedVersion="0" background="1">
    <dbPr connection="Provider=Microsoft.Mashup.OleDb.1;Data Source=$Workbook$;Location=PDFImport_260325_013152;Extended Properties=&quot;&quot;" commandType="0"/>
  </connection>
  <connection id="20" xr16:uid="{90AEEFB1-37BD-4240-8818-DE3CF6E1A99C}" keepAlive="1" name="接続115" type="5" refreshedVersion="0" background="1">
    <dbPr connection="Provider=Microsoft.Mashup.OleDb.1;Data Source=$Workbook$;Location=PDFImport_260325_013343;Extended Properties=&quot;&quot;" commandType="0"/>
  </connection>
  <connection id="21" xr16:uid="{7C4740E7-749E-49CA-9AC5-F2135A0A62E6}" keepAlive="1" name="接続116" type="5" refreshedVersion="0" background="1">
    <dbPr connection="Provider=Microsoft.Mashup.OleDb.1;Data Source=$Workbook$;Location=PDFImport_260325_014238;Extended Properties=&quot;&quot;" commandType="0"/>
  </connection>
  <connection id="22" xr16:uid="{1C91F366-3B07-413A-A879-F78989E0EC55}" keepAlive="1" name="接続117" type="5" refreshedVersion="0" background="1">
    <dbPr connection="Provider=Microsoft.Mashup.OleDb.1;Data Source=$Workbook$;Location=PDFImport_260325_014426;Extended Properties=&quot;&quot;" commandType="0"/>
  </connection>
  <connection id="23" xr16:uid="{ACC1F72D-D44D-457C-9FFC-203B20DD684E}" keepAlive="1" name="接続118" type="5" refreshedVersion="0" background="1">
    <dbPr connection="Provider=Microsoft.Mashup.OleDb.1;Data Source=$Workbook$;Location=PDFImport_260325_014538;Extended Properties=&quot;&quot;" commandType="0"/>
  </connection>
  <connection id="24" xr16:uid="{56BA3A1E-47A6-4859-B9DD-850869210375}" keepAlive="1" name="接続119" type="5" refreshedVersion="0" background="1">
    <dbPr connection="Provider=Microsoft.Mashup.OleDb.1;Data Source=$Workbook$;Location=PDFImport_260325_015355;Extended Properties=&quot;&quot;" commandType="0"/>
  </connection>
  <connection id="25" xr16:uid="{C4E29CE9-DF3D-440D-957F-E5F644732311}" keepAlive="1" name="接続12" type="5" refreshedVersion="0" background="1">
    <dbPr connection="Provider=Microsoft.Mashup.OleDb.1;Data Source=$Workbook$;Location=PDFImport_260320_151415;Extended Properties=&quot;&quot;" commandType="0"/>
  </connection>
  <connection id="26" xr16:uid="{C1B0BF82-6A36-4E0B-98F3-F258734B95AD}" keepAlive="1" name="接続120" type="5" refreshedVersion="0" background="1">
    <dbPr connection="Provider=Microsoft.Mashup.OleDb.1;Data Source=$Workbook$;Location=PDFImport_260325_020256;Extended Properties=&quot;&quot;" commandType="0"/>
  </connection>
  <connection id="27" xr16:uid="{2E27E72D-1FF3-443F-9775-156AF295F937}" keepAlive="1" name="接続121" type="5" refreshedVersion="0" background="1">
    <dbPr connection="Provider=Microsoft.Mashup.OleDb.1;Data Source=$Workbook$;Location=PDFImport_260325_020320;Extended Properties=&quot;&quot;" commandType="0"/>
  </connection>
  <connection id="28" xr16:uid="{354F2AAC-B34B-4EBB-95CD-469DAE9E03C0}" keepAlive="1" name="接続122" type="5" refreshedVersion="0" background="1">
    <dbPr connection="Provider=Microsoft.Mashup.OleDb.1;Data Source=$Workbook$;Location=PDFImport_260325_020718;Extended Properties=&quot;&quot;" commandType="0"/>
  </connection>
  <connection id="29" xr16:uid="{B9DFD1E1-3134-4EB7-B522-42038206FE15}" keepAlive="1" name="接続123" type="5" refreshedVersion="0" background="1">
    <dbPr connection="Provider=Microsoft.Mashup.OleDb.1;Data Source=$Workbook$;Location=PDFImport_260325_021231;Extended Properties=&quot;&quot;" commandType="0"/>
  </connection>
  <connection id="30" xr16:uid="{05753F7E-A47A-40E0-9579-B59FF22C1020}" keepAlive="1" name="接続124" type="5" refreshedVersion="0" background="1">
    <dbPr connection="Provider=Microsoft.Mashup.OleDb.1;Data Source=$Workbook$;Location=PDFImport_260325_021401;Extended Properties=&quot;&quot;" commandType="0"/>
  </connection>
  <connection id="31" xr16:uid="{7F289B86-0492-48E1-83D3-580D88A7703E}" keepAlive="1" name="接続125" type="5" refreshedVersion="0" background="1">
    <dbPr connection="Provider=Microsoft.Mashup.OleDb.1;Data Source=$Workbook$;Location=PDFImport_260325_021503;Extended Properties=&quot;&quot;" commandType="0"/>
  </connection>
  <connection id="32" xr16:uid="{210C94D1-B5B4-4CEE-9788-A1DF150311F0}" keepAlive="1" name="接続126" type="5" refreshedVersion="0" background="1">
    <dbPr connection="Provider=Microsoft.Mashup.OleDb.1;Data Source=$Workbook$;Location=PDFImport_260325_021902;Extended Properties=&quot;&quot;" commandType="0"/>
  </connection>
  <connection id="33" xr16:uid="{C52F03A5-DE1D-48C7-8F6B-6153E029F796}" keepAlive="1" name="接続127" type="5" refreshedVersion="0" background="1">
    <dbPr connection="Provider=Microsoft.Mashup.OleDb.1;Data Source=$Workbook$;Location=PDFImport_260325_080414;Extended Properties=&quot;&quot;" commandType="0"/>
  </connection>
  <connection id="34" xr16:uid="{5A28088B-9CE4-448D-9EA1-BFD7CB8CEA71}" keepAlive="1" name="接続128" type="5" refreshedVersion="0" background="1">
    <dbPr connection="Provider=Microsoft.Mashup.OleDb.1;Data Source=$Workbook$;Location=PDFImport_260325_085720;Extended Properties=&quot;&quot;" commandType="0"/>
  </connection>
  <connection id="35" xr16:uid="{38993747-D16C-4EAB-8256-5DC2CB3EFAEE}" keepAlive="1" name="接続129" type="5" refreshedVersion="0" background="1">
    <dbPr connection="Provider=Microsoft.Mashup.OleDb.1;Data Source=$Workbook$;Location=PDFImport_260325_093218;Extended Properties=&quot;&quot;" commandType="0"/>
  </connection>
  <connection id="36" xr16:uid="{F4683B6D-9AAD-4626-89AE-8E183E07C21B}" keepAlive="1" name="接続13" type="5" refreshedVersion="0" background="1">
    <dbPr connection="Provider=Microsoft.Mashup.OleDb.1;Data Source=$Workbook$;Location=PDFImport_260320_160138;Extended Properties=&quot;&quot;" commandType="0"/>
  </connection>
  <connection id="37" xr16:uid="{6D4843B6-F54B-443F-8EBA-DC3A130382D6}" keepAlive="1" name="接続130" type="5" refreshedVersion="0" background="1">
    <dbPr connection="Provider=Microsoft.Mashup.OleDb.1;Data Source=$Workbook$;Location=PDFImport_260325_093517;Extended Properties=&quot;&quot;" commandType="0"/>
  </connection>
  <connection id="38" xr16:uid="{85585775-03BD-409D-B515-C218531993E9}" keepAlive="1" name="接続131" type="5" refreshedVersion="0" background="1">
    <dbPr connection="Provider=Microsoft.Mashup.OleDb.1;Data Source=$Workbook$;Location=PDFImport_260325_093608;Extended Properties=&quot;&quot;" commandType="0"/>
  </connection>
  <connection id="39" xr16:uid="{AEBCF6E2-467F-4A2C-A9BE-30CB26AACF98}" keepAlive="1" name="接続132" type="5" refreshedVersion="0" background="1">
    <dbPr connection="Provider=Microsoft.Mashup.OleDb.1;Data Source=$Workbook$;Location=PDFImport_260325_093726;Extended Properties=&quot;&quot;" commandType="0"/>
  </connection>
  <connection id="40" xr16:uid="{252A1AC0-8D97-4A00-939D-D22B9E535D19}" keepAlive="1" name="接続133" type="5" refreshedVersion="0" background="1">
    <dbPr connection="Provider=Microsoft.Mashup.OleDb.1;Data Source=$Workbook$;Location=PDFImport_260325_094009;Extended Properties=&quot;&quot;" commandType="0"/>
  </connection>
  <connection id="41" xr16:uid="{F5245492-8A7C-45BE-B968-41651D2F2477}" keepAlive="1" name="接続134" type="5" refreshedVersion="0" background="1">
    <dbPr connection="Provider=Microsoft.Mashup.OleDb.1;Data Source=$Workbook$;Location=PDFImport_260325_095817;Extended Properties=&quot;&quot;" commandType="0"/>
  </connection>
  <connection id="42" xr16:uid="{E0BDD276-D797-435D-9C07-FF8FC909669A}" keepAlive="1" name="接続135" type="5" refreshedVersion="0" background="1">
    <dbPr connection="Provider=Microsoft.Mashup.OleDb.1;Data Source=$Workbook$;Location=PDFImport_260325_103112;Extended Properties=&quot;&quot;" commandType="0"/>
  </connection>
  <connection id="43" xr16:uid="{3E9311FC-EE6A-4C5B-9568-4CF1776D888F}" keepAlive="1" name="接続136" type="5" refreshedVersion="0" background="1">
    <dbPr connection="Provider=Microsoft.Mashup.OleDb.1;Data Source=$Workbook$;Location=PDFImport_260325_104049;Extended Properties=&quot;&quot;" commandType="0"/>
  </connection>
  <connection id="44" xr16:uid="{7D3D31F8-1542-43E8-A0FF-90A43F373E93}" keepAlive="1" name="接続137" type="5" refreshedVersion="0" background="1">
    <dbPr connection="Provider=Microsoft.Mashup.OleDb.1;Data Source=$Workbook$;Location=PDFImport_260325_104619;Extended Properties=&quot;&quot;" commandType="0"/>
  </connection>
  <connection id="45" xr16:uid="{54F2B2DA-32BC-4F91-8994-EEEAA48BDEE0}" keepAlive="1" name="接続138" type="5" refreshedVersion="0" background="1">
    <dbPr connection="Provider=Microsoft.Mashup.OleDb.1;Data Source=$Workbook$;Location=PDFImport_260325_105348;Extended Properties=&quot;&quot;" commandType="0"/>
  </connection>
  <connection id="46" xr16:uid="{A754CE9F-4ACA-4509-BA5C-3A8D24DCADAD}" keepAlive="1" name="接続139" type="5" refreshedVersion="0" background="1">
    <dbPr connection="Provider=Microsoft.Mashup.OleDb.1;Data Source=$Workbook$;Location=PDFImport_260325_110149;Extended Properties=&quot;&quot;" commandType="0"/>
  </connection>
  <connection id="47" xr16:uid="{6DEE20A5-6D20-4431-A618-5CBD1657A533}" keepAlive="1" name="接続14" type="5" refreshedVersion="0" background="1">
    <dbPr connection="Provider=Microsoft.Mashup.OleDb.1;Data Source=$Workbook$;Location=PDFImport_260320_160250;Extended Properties=&quot;&quot;" commandType="0"/>
  </connection>
  <connection id="48" xr16:uid="{C3A2CD67-8B84-4C7F-B003-373FBE07AE4F}" keepAlive="1" name="接続140" type="5" refreshedVersion="0" background="1">
    <dbPr connection="Provider=Microsoft.Mashup.OleDb.1;Data Source=$Workbook$;Location=PDFImport_260325_111420;Extended Properties=&quot;&quot;" commandType="0"/>
  </connection>
  <connection id="49" xr16:uid="{78BA49B6-E454-45C6-8425-2A1FDA309351}" keepAlive="1" name="接続141" type="5" refreshedVersion="0" background="1">
    <dbPr connection="Provider=Microsoft.Mashup.OleDb.1;Data Source=$Workbook$;Location=PDFImport_260325_111610;Extended Properties=&quot;&quot;" commandType="0"/>
  </connection>
  <connection id="50" xr16:uid="{42E7988C-6CDC-462E-A0FB-38DCDC59F4DD}" keepAlive="1" name="接続142" type="5" refreshedVersion="0" background="1">
    <dbPr connection="Provider=Microsoft.Mashup.OleDb.1;Data Source=$Workbook$;Location=PDFImport_260325_111945;Extended Properties=&quot;&quot;" commandType="0"/>
  </connection>
  <connection id="51" xr16:uid="{F128D3D5-02A6-490D-89E0-07169EA96992}" keepAlive="1" name="接続143" type="5" refreshedVersion="0" background="1">
    <dbPr connection="Provider=Microsoft.Mashup.OleDb.1;Data Source=$Workbook$;Location=PDFImport_260325_112025;Extended Properties=&quot;&quot;" commandType="0"/>
  </connection>
  <connection id="52" xr16:uid="{CDAE290B-EEAE-493B-B82E-744911D8803D}" keepAlive="1" name="接続144" type="5" refreshedVersion="0" background="1">
    <dbPr connection="Provider=Microsoft.Mashup.OleDb.1;Data Source=$Workbook$;Location=PDFImport_260325_112108;Extended Properties=&quot;&quot;" commandType="0"/>
  </connection>
  <connection id="53" xr16:uid="{F8910D68-4B68-4767-A927-AF6E928264AE}" keepAlive="1" name="接続145" type="5" refreshedVersion="0" background="1">
    <dbPr connection="Provider=Microsoft.Mashup.OleDb.1;Data Source=$Workbook$;Location=PDFImport_260325_112137;Extended Properties=&quot;&quot;" commandType="0"/>
  </connection>
  <connection id="54" xr16:uid="{78EB7B5C-72C2-4A9A-AAED-B386EF519A06}" keepAlive="1" name="接続146" type="5" refreshedVersion="0" background="1">
    <dbPr connection="Provider=Microsoft.Mashup.OleDb.1;Data Source=$Workbook$;Location=PDFImport_260325_113236;Extended Properties=&quot;&quot;" commandType="0"/>
  </connection>
  <connection id="55" xr16:uid="{F379FAD7-F071-4F9C-8C7B-423BDB5D22D1}" keepAlive="1" name="接続147" type="5" refreshedVersion="0" background="1">
    <dbPr connection="Provider=Microsoft.Mashup.OleDb.1;Data Source=$Workbook$;Location=PDFImport_260325_114634;Extended Properties=&quot;&quot;" commandType="0"/>
  </connection>
  <connection id="56" xr16:uid="{B26A5BE3-32FC-4E09-9224-5FE6C9DC5F67}" keepAlive="1" name="接続148" type="5" refreshedVersion="0" background="1">
    <dbPr connection="Provider=Microsoft.Mashup.OleDb.1;Data Source=$Workbook$;Location=PDFImport_260325_120934;Extended Properties=&quot;&quot;" commandType="0"/>
  </connection>
  <connection id="57" xr16:uid="{83175250-2DF3-4EEE-9AD8-A23F5C423255}" keepAlive="1" name="接続149" type="5" refreshedVersion="0" background="1">
    <dbPr connection="Provider=Microsoft.Mashup.OleDb.1;Data Source=$Workbook$;Location=PDFImport_260325_191752;Extended Properties=&quot;&quot;" commandType="0"/>
  </connection>
  <connection id="58" xr16:uid="{9278D09A-EDF7-475A-BF79-48CA4EB57EC2}" keepAlive="1" name="接続15" type="5" refreshedVersion="0" background="1">
    <dbPr connection="Provider=Microsoft.Mashup.OleDb.1;Data Source=$Workbook$;Location=PDFImport_260320_173153;Extended Properties=&quot;&quot;" commandType="0"/>
  </connection>
  <connection id="59" xr16:uid="{748B88B3-9122-495D-B274-ECF0AAAC86D1}" keepAlive="1" name="接続150" type="5" refreshedVersion="0" background="1">
    <dbPr connection="Provider=Microsoft.Mashup.OleDb.1;Data Source=$Workbook$;Location=PDFImport_260325_191922;Extended Properties=&quot;&quot;" commandType="0"/>
  </connection>
  <connection id="60" xr16:uid="{3F7B9700-C642-43AE-BAC5-5B61B054FC4B}" keepAlive="1" name="接続151" type="5" refreshedVersion="0" background="1">
    <dbPr connection="Provider=Microsoft.Mashup.OleDb.1;Data Source=$Workbook$;Location=PDFImport_260325_192021;Extended Properties=&quot;&quot;" commandType="0"/>
  </connection>
  <connection id="61" xr16:uid="{00DCCADA-3565-43A6-B33E-EB4860FE60FD}" keepAlive="1" name="接続152" type="5" refreshedVersion="0" background="1">
    <dbPr connection="Provider=Microsoft.Mashup.OleDb.1;Data Source=$Workbook$;Location=PDFImport_260325_192045;Extended Properties=&quot;&quot;" commandType="0"/>
  </connection>
  <connection id="62" xr16:uid="{7234D6F2-D27C-468E-8EB5-23A7B0FDE6A2}" keepAlive="1" name="接続153" type="5" refreshedVersion="0" background="1">
    <dbPr connection="Provider=Microsoft.Mashup.OleDb.1;Data Source=$Workbook$;Location=PDFImport_260325_192228;Extended Properties=&quot;&quot;" commandType="0"/>
  </connection>
  <connection id="63" xr16:uid="{EEE8DF09-1700-4E84-A401-72A8C93C2B10}" keepAlive="1" name="接続154" type="5" refreshedVersion="0" background="1">
    <dbPr connection="Provider=Microsoft.Mashup.OleDb.1;Data Source=$Workbook$;Location=PDFImport_260325_194312;Extended Properties=&quot;&quot;" commandType="0"/>
  </connection>
  <connection id="64" xr16:uid="{75EDD422-FE7B-432D-BB12-126A80ED07C4}" keepAlive="1" name="接続155" type="5" refreshedVersion="0" background="1">
    <dbPr connection="Provider=Microsoft.Mashup.OleDb.1;Data Source=$Workbook$;Location=PDFImport_260325_194645;Extended Properties=&quot;&quot;" commandType="0"/>
  </connection>
  <connection id="65" xr16:uid="{F18A25EF-0394-4057-BDFE-954FC6C8CDC8}" keepAlive="1" name="接続156" type="5" refreshedVersion="0" background="1">
    <dbPr connection="Provider=Microsoft.Mashup.OleDb.1;Data Source=$Workbook$;Location=PDFImport_260325_195644;Extended Properties=&quot;&quot;" commandType="0"/>
  </connection>
  <connection id="66" xr16:uid="{FC44585B-8481-4DFB-91CF-F016506AE348}" keepAlive="1" name="接続157" type="5" refreshedVersion="0" background="1">
    <dbPr connection="Provider=Microsoft.Mashup.OleDb.1;Data Source=$Workbook$;Location=PDFImport_260325_200401;Extended Properties=&quot;&quot;" commandType="0"/>
  </connection>
  <connection id="67" xr16:uid="{831B108F-B065-422F-B7C5-E527EE3D6F99}" keepAlive="1" name="接続158" type="5" refreshedVersion="0" background="1">
    <dbPr connection="Provider=Microsoft.Mashup.OleDb.1;Data Source=$Workbook$;Location=PDFImport_260325_201458;Extended Properties=&quot;&quot;" commandType="0"/>
  </connection>
  <connection id="68" xr16:uid="{F6808F89-2119-49E5-AF75-B31E1AA05CB7}" keepAlive="1" name="接続159" type="5" refreshedVersion="0" background="1">
    <dbPr connection="Provider=Microsoft.Mashup.OleDb.1;Data Source=$Workbook$;Location=PDFImport_260325_202259;Extended Properties=&quot;&quot;" commandType="0"/>
  </connection>
  <connection id="69" xr16:uid="{6D4A9A28-27C6-42B7-A67C-02F909BD7A46}" keepAlive="1" name="接続16" type="5" refreshedVersion="0" background="1">
    <dbPr connection="Provider=Microsoft.Mashup.OleDb.1;Data Source=$Workbook$;Location=PDFImport_260320_173859;Extended Properties=&quot;&quot;" commandType="0"/>
  </connection>
  <connection id="70" xr16:uid="{21E89B3E-C45C-4E84-B78F-A244AA7A82D6}" keepAlive="1" name="接続160" type="5" refreshedVersion="0" background="1">
    <dbPr connection="Provider=Microsoft.Mashup.OleDb.1;Data Source=$Workbook$;Location=PDFImport_260325_203333;Extended Properties=&quot;&quot;" commandType="0"/>
  </connection>
  <connection id="71" xr16:uid="{7647F6C1-CAB4-47FC-8C4F-4BD113089B0D}" keepAlive="1" name="接続161" type="5" refreshedVersion="0" background="1">
    <dbPr connection="Provider=Microsoft.Mashup.OleDb.1;Data Source=$Workbook$;Location=PDFImport_260325_204759;Extended Properties=&quot;&quot;" commandType="0"/>
  </connection>
  <connection id="72" xr16:uid="{0AF2D2A2-6358-4A6F-8557-21430C9DCB52}" keepAlive="1" name="接続162" type="5" refreshedVersion="0" background="1">
    <dbPr connection="Provider=Microsoft.Mashup.OleDb.1;Data Source=$Workbook$;Location=PDFImport_260325_210018;Extended Properties=&quot;&quot;" commandType="0"/>
  </connection>
  <connection id="73" xr16:uid="{1FC0E731-C084-4CE0-B11B-4B35B89F3823}" keepAlive="1" name="接続163" type="5" refreshedVersion="0" background="1">
    <dbPr connection="Provider=Microsoft.Mashup.OleDb.1;Data Source=$Workbook$;Location=PDFImport_260325_210045;Extended Properties=&quot;&quot;" commandType="0"/>
  </connection>
  <connection id="74" xr16:uid="{93B9E56D-ABA8-4F0E-94A4-8E6F64A7AE8D}" keepAlive="1" name="接続164" type="5" refreshedVersion="0" background="1">
    <dbPr connection="Provider=Microsoft.Mashup.OleDb.1;Data Source=$Workbook$;Location=PDFImport_260325_210058;Extended Properties=&quot;&quot;" commandType="0"/>
  </connection>
  <connection id="75" xr16:uid="{8026E07C-5471-4D74-A33E-8640ADC42B1A}" keepAlive="1" name="接続165" type="5" refreshedVersion="0" background="1">
    <dbPr connection="Provider=Microsoft.Mashup.OleDb.1;Data Source=$Workbook$;Location=PDFImport_260325_210142;Extended Properties=&quot;&quot;" commandType="0"/>
  </connection>
  <connection id="76" xr16:uid="{4DCD3BDE-B638-4379-9B0B-58EA27D93A9D}" keepAlive="1" name="接続166" type="5" refreshedVersion="0" background="1">
    <dbPr connection="Provider=Microsoft.Mashup.OleDb.1;Data Source=$Workbook$;Location=PDFImport_260325_210231;Extended Properties=&quot;&quot;" commandType="0"/>
  </connection>
  <connection id="77" xr16:uid="{7F449812-F9E2-47DC-B987-F0D8F6B11470}" keepAlive="1" name="接続167" type="5" refreshedVersion="0" background="1">
    <dbPr connection="Provider=Microsoft.Mashup.OleDb.1;Data Source=$Workbook$;Location=PDFImport_260325_210247;Extended Properties=&quot;&quot;" commandType="0"/>
  </connection>
  <connection id="78" xr16:uid="{04246D9E-E4A8-4978-906A-9930DE85199B}" keepAlive="1" name="接続168" type="5" refreshedVersion="0" background="1">
    <dbPr connection="Provider=Microsoft.Mashup.OleDb.1;Data Source=$Workbook$;Location=PDFImport_260325_210310;Extended Properties=&quot;&quot;" commandType="0"/>
  </connection>
  <connection id="79" xr16:uid="{33B65625-6363-4580-B34C-9789CA878F99}" keepAlive="1" name="接続169" type="5" refreshedVersion="0" background="1">
    <dbPr connection="Provider=Microsoft.Mashup.OleDb.1;Data Source=$Workbook$;Location=PDFImport_260325_210324;Extended Properties=&quot;&quot;" commandType="0"/>
  </connection>
  <connection id="80" xr16:uid="{E0D25F30-1AF1-4B6D-9FF0-D0D1C6623DA3}" keepAlive="1" name="接続17" type="5" refreshedVersion="0" background="1">
    <dbPr connection="Provider=Microsoft.Mashup.OleDb.1;Data Source=$Workbook$;Location=PDFImport_260320_191032;Extended Properties=&quot;&quot;" commandType="0"/>
  </connection>
  <connection id="81" xr16:uid="{80EF204B-99F0-493C-BC05-53DF593C52C0}" keepAlive="1" name="接続170" type="5" refreshedVersion="0" background="1">
    <dbPr connection="Provider=Microsoft.Mashup.OleDb.1;Data Source=$Workbook$;Location=PDFImport_260325_210607;Extended Properties=&quot;&quot;" commandType="0"/>
  </connection>
  <connection id="82" xr16:uid="{76D0B865-170F-49C5-B70F-AA38C72A3C3D}" keepAlive="1" name="接続171" type="5" refreshedVersion="0" background="1">
    <dbPr connection="Provider=Microsoft.Mashup.OleDb.1;Data Source=$Workbook$;Location=PDFImport_260325_210625;Extended Properties=&quot;&quot;" commandType="0"/>
  </connection>
  <connection id="83" xr16:uid="{2724D07A-5229-40AD-956F-79420D332315}" keepAlive="1" name="接続172" type="5" refreshedVersion="0" background="1">
    <dbPr connection="Provider=Microsoft.Mashup.OleDb.1;Data Source=$Workbook$;Location=PDFImport_260325_211232;Extended Properties=&quot;&quot;" commandType="0"/>
  </connection>
  <connection id="84" xr16:uid="{A3B66CC6-0755-4BC0-AC83-D416B3C46338}" keepAlive="1" name="接続173" type="5" refreshedVersion="0" background="1">
    <dbPr connection="Provider=Microsoft.Mashup.OleDb.1;Data Source=$Workbook$;Location=PDFImport_260325_211326;Extended Properties=&quot;&quot;" commandType="0"/>
  </connection>
  <connection id="85" xr16:uid="{3650BF64-5AEB-471A-8801-7943E6F71591}" keepAlive="1" name="接続174" type="5" refreshedVersion="0" background="1">
    <dbPr connection="Provider=Microsoft.Mashup.OleDb.1;Data Source=$Workbook$;Location=PDFImport_260325_211434;Extended Properties=&quot;&quot;" commandType="0"/>
  </connection>
  <connection id="86" xr16:uid="{C96728B4-393A-4734-8096-634C7F65B22E}" keepAlive="1" name="接続175" type="5" refreshedVersion="0" background="1">
    <dbPr connection="Provider=Microsoft.Mashup.OleDb.1;Data Source=$Workbook$;Location=PDFImport_260325_211629;Extended Properties=&quot;&quot;" commandType="0"/>
  </connection>
  <connection id="87" xr16:uid="{15B8FA1F-25EB-438F-8E8B-74A8B9852EC4}" keepAlive="1" name="接続176" type="5" refreshedVersion="0" background="1">
    <dbPr connection="Provider=Microsoft.Mashup.OleDb.1;Data Source=$Workbook$;Location=PDFImport_260325_230146;Extended Properties=&quot;&quot;" commandType="0"/>
  </connection>
  <connection id="88" xr16:uid="{3DE1C98A-6FAE-4B35-B2EA-32F3D1A7871B}" keepAlive="1" name="接続177" type="5" refreshedVersion="0" background="1">
    <dbPr connection="Provider=Microsoft.Mashup.OleDb.1;Data Source=$Workbook$;Location=PDFImport_260325_230321;Extended Properties=&quot;&quot;" commandType="0"/>
  </connection>
  <connection id="89" xr16:uid="{DBEB6A2C-9E66-4E69-90F4-247D22115F72}" keepAlive="1" name="接続178" type="5" refreshedVersion="0" background="1">
    <dbPr connection="Provider=Microsoft.Mashup.OleDb.1;Data Source=$Workbook$;Location=PDFImport_260325_230347;Extended Properties=&quot;&quot;" commandType="0"/>
  </connection>
  <connection id="90" xr16:uid="{950944DE-6155-4FB0-958D-E21B7F53BD80}" keepAlive="1" name="接続179" type="5" refreshedVersion="0" background="1">
    <dbPr connection="Provider=Microsoft.Mashup.OleDb.1;Data Source=$Workbook$;Location=PDFImport_260325_230445;Extended Properties=&quot;&quot;" commandType="0"/>
  </connection>
  <connection id="91" xr16:uid="{09BE97B3-54BB-4A7A-A0AD-02CB10D0BF2E}" keepAlive="1" name="接続18" type="5" refreshedVersion="0" background="1">
    <dbPr connection="Provider=Microsoft.Mashup.OleDb.1;Data Source=$Workbook$;Location=PDFImport_260320_195751;Extended Properties=&quot;&quot;" commandType="0"/>
  </connection>
  <connection id="92" xr16:uid="{9304AE0B-1074-4DAB-97F0-9A35914C1C30}" keepAlive="1" name="接続180" type="5" refreshedVersion="0" background="1">
    <dbPr connection="Provider=Microsoft.Mashup.OleDb.1;Data Source=$Workbook$;Location=PDFImport_260325_230533;Extended Properties=&quot;&quot;" commandType="0"/>
  </connection>
  <connection id="93" xr16:uid="{6897261B-1AD2-4C1A-BE73-56AC96ECC435}" keepAlive="1" name="接続181" type="5" refreshedVersion="0" background="1">
    <dbPr connection="Provider=Microsoft.Mashup.OleDb.1;Data Source=$Workbook$;Location=PDFImport_260325_230558;Extended Properties=&quot;&quot;" commandType="0"/>
  </connection>
  <connection id="94" xr16:uid="{1037E970-A307-4B43-886F-D1C274EDE58A}" keepAlive="1" name="接続182" type="5" refreshedVersion="0" background="1">
    <dbPr connection="Provider=Microsoft.Mashup.OleDb.1;Data Source=$Workbook$;Location=PDFImport_260325_230616;Extended Properties=&quot;&quot;" commandType="0"/>
  </connection>
  <connection id="95" xr16:uid="{97FC10E6-03F8-4EDD-B4B2-DB8C4D6F3DEB}" keepAlive="1" name="接続183" type="5" refreshedVersion="0" background="1">
    <dbPr connection="Provider=Microsoft.Mashup.OleDb.1;Data Source=$Workbook$;Location=PDFImport_260325_231442;Extended Properties=&quot;&quot;" commandType="0"/>
  </connection>
  <connection id="96" xr16:uid="{2D6B387F-8FC1-4692-9F3C-6E2361EC7E3F}" keepAlive="1" name="接続184" type="5" refreshedVersion="0" background="1">
    <dbPr connection="Provider=Microsoft.Mashup.OleDb.1;Data Source=$Workbook$;Location=PDFImport_260325_231510;Extended Properties=&quot;&quot;" commandType="0"/>
  </connection>
  <connection id="97" xr16:uid="{30D1122E-773F-4CE5-A79C-F224546ED501}" keepAlive="1" name="接続185" type="5" refreshedVersion="0" background="1">
    <dbPr connection="Provider=Microsoft.Mashup.OleDb.1;Data Source=$Workbook$;Location=PDFImport_260325_231640;Extended Properties=&quot;&quot;" commandType="0"/>
  </connection>
  <connection id="98" xr16:uid="{E9743B41-B993-4686-9B19-A274A9D94552}" keepAlive="1" name="接続186" type="5" refreshedVersion="0" background="1">
    <dbPr connection="Provider=Microsoft.Mashup.OleDb.1;Data Source=$Workbook$;Location=PDFImport_260325_232035;Extended Properties=&quot;&quot;" commandType="0"/>
  </connection>
  <connection id="99" xr16:uid="{16236DE8-0C4F-42FC-84A5-D1B243C0371D}" keepAlive="1" name="接続187" type="5" refreshedVersion="0" background="1">
    <dbPr connection="Provider=Microsoft.Mashup.OleDb.1;Data Source=$Workbook$;Location=PDFImport_260325_232100;Extended Properties=&quot;&quot;" commandType="0"/>
  </connection>
  <connection id="100" xr16:uid="{825E72ED-CD4D-43BC-9BA8-4BF0145619DA}" keepAlive="1" name="接続188" type="5" refreshedVersion="0" background="1">
    <dbPr connection="Provider=Microsoft.Mashup.OleDb.1;Data Source=$Workbook$;Location=PDFImport_260325_232143;Extended Properties=&quot;&quot;" commandType="0"/>
  </connection>
  <connection id="101" xr16:uid="{21CD5118-3C60-47BD-9794-D51342109FDF}" keepAlive="1" name="接続189" type="5" refreshedVersion="0" background="1">
    <dbPr connection="Provider=Microsoft.Mashup.OleDb.1;Data Source=$Workbook$;Location=PDFImport_260326_000906;Extended Properties=&quot;&quot;" commandType="0"/>
  </connection>
  <connection id="102" xr16:uid="{39F7D62D-2204-4C55-9CB9-80095D8D8634}" keepAlive="1" name="接続19" type="5" refreshedVersion="0" background="1">
    <dbPr connection="Provider=Microsoft.Mashup.OleDb.1;Data Source=$Workbook$;Location=PDFImport_260320_200245;Extended Properties=&quot;&quot;" commandType="0"/>
  </connection>
  <connection id="103" xr16:uid="{0CB97635-E8E6-4F1B-80E1-21CC174A21E1}" keepAlive="1" name="接続190" type="5" refreshedVersion="0" background="1">
    <dbPr connection="Provider=Microsoft.Mashup.OleDb.1;Data Source=$Workbook$;Location=PDFImport_260326_001710;Extended Properties=&quot;&quot;" commandType="0"/>
  </connection>
  <connection id="104" xr16:uid="{8C419C34-8A93-440C-96C7-82A4E9C490FD}" keepAlive="1" name="接続191" type="5" refreshedVersion="0" background="1">
    <dbPr connection="Provider=Microsoft.Mashup.OleDb.1;Data Source=$Workbook$;Location=PDFImport_260326_001729;Extended Properties=&quot;&quot;" commandType="0"/>
  </connection>
  <connection id="105" xr16:uid="{F07F5FDC-3B07-49C8-A756-87A39FB642A2}" keepAlive="1" name="接続192" type="5" refreshedVersion="0" background="1">
    <dbPr connection="Provider=Microsoft.Mashup.OleDb.1;Data Source=$Workbook$;Location=PDFImport_260326_001753;Extended Properties=&quot;&quot;" commandType="0"/>
  </connection>
  <connection id="106" xr16:uid="{099E69C2-B874-4509-9EF4-2F649873795C}" keepAlive="1" name="接続193" type="5" refreshedVersion="0" background="1">
    <dbPr connection="Provider=Microsoft.Mashup.OleDb.1;Data Source=$Workbook$;Location=PDFImport_260326_004514;Extended Properties=&quot;&quot;" commandType="0"/>
  </connection>
  <connection id="107" xr16:uid="{8B22E332-735F-4908-A5D4-9958A3635028}" keepAlive="1" name="接続194" type="5" refreshedVersion="0" background="1">
    <dbPr connection="Provider=Microsoft.Mashup.OleDb.1;Data Source=$Workbook$;Location=PDFImport_260326_005718;Extended Properties=&quot;&quot;" commandType="0"/>
  </connection>
  <connection id="108" xr16:uid="{D2F8F1E8-D298-40EF-998B-B3E5C9A5EDCB}" keepAlive="1" name="接続195" type="5" refreshedVersion="0" background="1">
    <dbPr connection="Provider=Microsoft.Mashup.OleDb.1;Data Source=$Workbook$;Location=PDFImport_260326_005730;Extended Properties=&quot;&quot;" commandType="0"/>
  </connection>
  <connection id="109" xr16:uid="{D5D5F0A0-65F9-403D-84D1-BC544BA49765}" keepAlive="1" name="接続196" type="5" refreshedVersion="0" background="1">
    <dbPr connection="Provider=Microsoft.Mashup.OleDb.1;Data Source=$Workbook$;Location=PDFImport_260326_092556;Extended Properties=&quot;&quot;" commandType="0"/>
  </connection>
  <connection id="110" xr16:uid="{4137A36E-97F9-4E24-A7D4-47847A09D76B}" keepAlive="1" name="接続197" type="5" refreshedVersion="0" background="1">
    <dbPr connection="Provider=Microsoft.Mashup.OleDb.1;Data Source=$Workbook$;Location=PDFImport_260326_092840;Extended Properties=&quot;&quot;" commandType="0"/>
  </connection>
  <connection id="111" xr16:uid="{E9ED45CB-3094-464D-88DB-1C7DA86952DB}" keepAlive="1" name="接続198" type="5" refreshedVersion="0" background="1">
    <dbPr connection="Provider=Microsoft.Mashup.OleDb.1;Data Source=$Workbook$;Location=PDFImport_260326_093246;Extended Properties=&quot;&quot;" commandType="0"/>
  </connection>
  <connection id="112" xr16:uid="{5FDA3041-F1C9-4381-A544-A68DC2F85BEA}" keepAlive="1" name="接続199" type="5" refreshedVersion="0" background="1">
    <dbPr connection="Provider=Microsoft.Mashup.OleDb.1;Data Source=$Workbook$;Location=PDFImport_260326_101349;Extended Properties=&quot;&quot;" commandType="0"/>
  </connection>
  <connection id="113" xr16:uid="{4A3F7FA1-4965-4036-A20A-D052762E3140}" keepAlive="1" name="接続2" type="5" refreshedVersion="0" background="1">
    <dbPr connection="Provider=Microsoft.Mashup.OleDb.1;Data Source=$Workbook$;Location=PDFImport_260319_204427;Extended Properties=&quot;&quot;" commandType="0"/>
  </connection>
  <connection id="114" xr16:uid="{6C661945-4C95-4B7B-8266-A6D4A43036D9}" keepAlive="1" name="接続20" type="5" refreshedVersion="0" background="1">
    <dbPr connection="Provider=Microsoft.Mashup.OleDb.1;Data Source=$Workbook$;Location=PDFImport_260320_200320;Extended Properties=&quot;&quot;" commandType="0"/>
  </connection>
  <connection id="115" xr16:uid="{04D68B4F-7B75-4092-9117-794AF473B53B}" keepAlive="1" name="接続200" type="5" refreshedVersion="0" background="1">
    <dbPr connection="Provider=Microsoft.Mashup.OleDb.1;Data Source=$Workbook$;Location=PDFImport_260326_110551;Extended Properties=&quot;&quot;" commandType="0"/>
  </connection>
  <connection id="116" xr16:uid="{754FE998-9480-43C0-A89E-AF03207103E0}" keepAlive="1" name="接続201" type="5" refreshedVersion="0" background="1">
    <dbPr connection="Provider=Microsoft.Mashup.OleDb.1;Data Source=$Workbook$;Location=PDFImport_260326_112402;Extended Properties=&quot;&quot;" commandType="0"/>
  </connection>
  <connection id="117" xr16:uid="{B9F60840-255A-4BE2-B208-C5BEB2BA44EC}" keepAlive="1" name="接続202" type="5" refreshedVersion="0" background="1">
    <dbPr connection="Provider=Microsoft.Mashup.OleDb.1;Data Source=$Workbook$;Location=PDFImport_260326_112417;Extended Properties=&quot;&quot;" commandType="0"/>
  </connection>
  <connection id="118" xr16:uid="{171B4BF0-3CC8-4D7B-B92F-B8BB893A9E42}" keepAlive="1" name="接続203" type="5" refreshedVersion="0" background="1">
    <dbPr connection="Provider=Microsoft.Mashup.OleDb.1;Data Source=$Workbook$;Location=PDFImport_260326_180306;Extended Properties=&quot;&quot;" commandType="0"/>
  </connection>
  <connection id="119" xr16:uid="{C5310BF8-EB42-4190-8861-F36F11D8AF36}" keepAlive="1" name="接続204" type="5" refreshedVersion="0" background="1">
    <dbPr connection="Provider=Microsoft.Mashup.OleDb.1;Data Source=$Workbook$;Location=PDFImport_260326_180338;Extended Properties=&quot;&quot;" commandType="0"/>
  </connection>
  <connection id="120" xr16:uid="{0793CC16-5EFA-4F12-A0BE-D3C895B75784}" keepAlive="1" name="接続205" type="5" refreshedVersion="0" background="1">
    <dbPr connection="Provider=Microsoft.Mashup.OleDb.1;Data Source=$Workbook$;Location=PDFImport_260326_180353;Extended Properties=&quot;&quot;" commandType="0"/>
  </connection>
  <connection id="121" xr16:uid="{A756AEB9-95B7-4553-93CE-4C013F037216}" keepAlive="1" name="接続206" type="5" refreshedVersion="0" background="1">
    <dbPr connection="Provider=Microsoft.Mashup.OleDb.1;Data Source=$Workbook$;Location=PDFImport_260326_180622;Extended Properties=&quot;&quot;" commandType="0"/>
  </connection>
  <connection id="122" xr16:uid="{5CFE6284-A168-4927-B0E9-466F1CC96237}" keepAlive="1" name="接続207" type="5" refreshedVersion="0" background="1">
    <dbPr connection="Provider=Microsoft.Mashup.OleDb.1;Data Source=$Workbook$;Location=PDFImport_260326_180646;Extended Properties=&quot;&quot;" commandType="0"/>
  </connection>
  <connection id="123" xr16:uid="{CAE6914A-FCBC-4CE9-9280-739149E94D80}" keepAlive="1" name="接続208" type="5" refreshedVersion="0" background="1">
    <dbPr connection="Provider=Microsoft.Mashup.OleDb.1;Data Source=$Workbook$;Location=PDFImport_260326_181901;Extended Properties=&quot;&quot;" commandType="0"/>
  </connection>
  <connection id="124" xr16:uid="{27CB85CD-4133-470E-8317-85B769B807AE}" keepAlive="1" name="接続209" type="5" refreshedVersion="0" background="1">
    <dbPr connection="Provider=Microsoft.Mashup.OleDb.1;Data Source=$Workbook$;Location=PDFImport_260326_181928;Extended Properties=&quot;&quot;" commandType="0"/>
  </connection>
  <connection id="125" xr16:uid="{9F0AD3D4-7A81-4FB6-AAAF-52234BF1C31B}" keepAlive="1" name="接続21" type="5" refreshedVersion="0" background="1">
    <dbPr connection="Provider=Microsoft.Mashup.OleDb.1;Data Source=$Workbook$;Location=PDFImport_260320_202638;Extended Properties=&quot;&quot;" commandType="0"/>
  </connection>
  <connection id="126" xr16:uid="{FF6E0770-04A2-45AE-AE1F-60AF5E92E6B7}" keepAlive="1" name="接続210" type="5" refreshedVersion="0" background="1">
    <dbPr connection="Provider=Microsoft.Mashup.OleDb.1;Data Source=$Workbook$;Location=PDFImport_260326_182723;Extended Properties=&quot;&quot;" commandType="0"/>
  </connection>
  <connection id="127" xr16:uid="{4031D8EF-59F1-41E4-9E46-7DB58D2266DD}" keepAlive="1" name="接続211" type="5" refreshedVersion="0" background="1">
    <dbPr connection="Provider=Microsoft.Mashup.OleDb.1;Data Source=$Workbook$;Location=PDFImport_260326_182827;Extended Properties=&quot;&quot;" commandType="0"/>
  </connection>
  <connection id="128" xr16:uid="{C3974D7D-0849-4DA3-97A0-9E0923697097}" keepAlive="1" name="接続212" type="5" refreshedVersion="0" background="1">
    <dbPr connection="Provider=Microsoft.Mashup.OleDb.1;Data Source=$Workbook$;Location=PDFImport_260326_183355;Extended Properties=&quot;&quot;" commandType="0"/>
  </connection>
  <connection id="129" xr16:uid="{4DC3342E-498F-443E-A5E9-A2E5D1D707D9}" keepAlive="1" name="接続213" type="5" refreshedVersion="0" background="1">
    <dbPr connection="Provider=Microsoft.Mashup.OleDb.1;Data Source=$Workbook$;Location=PDFImport_260326_183423;Extended Properties=&quot;&quot;" commandType="0"/>
  </connection>
  <connection id="130" xr16:uid="{8E10EA77-4E01-403C-8E88-C014A21C3F36}" keepAlive="1" name="接続214" type="5" refreshedVersion="0" background="1">
    <dbPr connection="Provider=Microsoft.Mashup.OleDb.1;Data Source=$Workbook$;Location=PDFImport_260326_183708;Extended Properties=&quot;&quot;" commandType="0"/>
  </connection>
  <connection id="131" xr16:uid="{1F9FA13A-5F71-412E-9FBD-447003E33A31}" keepAlive="1" name="接続215" type="5" refreshedVersion="0" background="1">
    <dbPr connection="Provider=Microsoft.Mashup.OleDb.1;Data Source=$Workbook$;Location=PDFImport_260326_190902;Extended Properties=&quot;&quot;" commandType="0"/>
  </connection>
  <connection id="132" xr16:uid="{F33DFEA4-D127-4FF8-AC14-69537606D369}" keepAlive="1" name="接続216" type="5" refreshedVersion="0" background="1">
    <dbPr connection="Provider=Microsoft.Mashup.OleDb.1;Data Source=$Workbook$;Location=PDFImport_260326_190947;Extended Properties=&quot;&quot;" commandType="0"/>
  </connection>
  <connection id="133" xr16:uid="{90A4DC69-09DE-4255-8728-E6AAFD17A93B}" keepAlive="1" name="接続217" type="5" refreshedVersion="0" background="1">
    <dbPr connection="Provider=Microsoft.Mashup.OleDb.1;Data Source=$Workbook$;Location=PDFImport_260326_224700;Extended Properties=&quot;&quot;" commandType="0"/>
  </connection>
  <connection id="134" xr16:uid="{B078D7CA-DBCC-46A2-901D-3B04AA3FC064}" keepAlive="1" name="接続218" type="5" refreshedVersion="0" background="1">
    <dbPr connection="Provider=Microsoft.Mashup.OleDb.1;Data Source=$Workbook$;Location=PDFImport_260326_224715;Extended Properties=&quot;&quot;" commandType="0"/>
  </connection>
  <connection id="135" xr16:uid="{FA1200B8-3435-4137-B4A9-BF9B6A8B5A4D}" keepAlive="1" name="接続219" type="5" refreshedVersion="0" background="1">
    <dbPr connection="Provider=Microsoft.Mashup.OleDb.1;Data Source=$Workbook$;Location=PDFImport_260326_224746;Extended Properties=&quot;&quot;" commandType="0"/>
  </connection>
  <connection id="136" xr16:uid="{4D9038FD-E928-40FA-B971-F01811E7E733}" keepAlive="1" name="接続22" type="5" refreshedVersion="0" background="1">
    <dbPr connection="Provider=Microsoft.Mashup.OleDb.1;Data Source=$Workbook$;Location=PDFImport_260320_221238;Extended Properties=&quot;&quot;" commandType="0"/>
  </connection>
  <connection id="137" xr16:uid="{85155BF2-8A6F-4106-94B5-F7F503E13E41}" keepAlive="1" name="接続220" type="5" refreshedVersion="0" background="1">
    <dbPr connection="Provider=Microsoft.Mashup.OleDb.1;Data Source=$Workbook$;Location=PDFImport_260326_224801;Extended Properties=&quot;&quot;" commandType="0"/>
  </connection>
  <connection id="138" xr16:uid="{AADEF2E2-5490-4825-AD50-9380C9181E3C}" keepAlive="1" name="接続221" type="5" refreshedVersion="0" background="1">
    <dbPr connection="Provider=Microsoft.Mashup.OleDb.1;Data Source=$Workbook$;Location=PDFImport_260326_225835;Extended Properties=&quot;&quot;" commandType="0"/>
  </connection>
  <connection id="139" xr16:uid="{B074363A-8DEF-4F9F-BAEB-2DA91D8B35F1}" keepAlive="1" name="接続222" type="5" refreshedVersion="0" background="1">
    <dbPr connection="Provider=Microsoft.Mashup.OleDb.1;Data Source=$Workbook$;Location=PDFImport_260326_225859;Extended Properties=&quot;&quot;" commandType="0"/>
  </connection>
  <connection id="140" xr16:uid="{7F1AAA98-DD98-426D-ACE6-3B1F9A9A0EC3}" keepAlive="1" name="接続223" type="5" refreshedVersion="0" background="1">
    <dbPr connection="Provider=Microsoft.Mashup.OleDb.1;Data Source=$Workbook$;Location=PDFImport_260330_122903;Extended Properties=&quot;&quot;" commandType="0"/>
  </connection>
  <connection id="141" xr16:uid="{DD6741CF-7438-49E9-91E8-EDC7473570EE}" keepAlive="1" name="接続224" type="5" refreshedVersion="0" background="1">
    <dbPr connection="Provider=Microsoft.Mashup.OleDb.1;Data Source=$Workbook$;Location=PDFImport_260330_123301;Extended Properties=&quot;&quot;" commandType="0"/>
  </connection>
  <connection id="142" xr16:uid="{ED4FEC1B-DB29-4D3D-89DC-030135C5561D}" keepAlive="1" name="接続225" type="5" refreshedVersion="0" background="1">
    <dbPr connection="Provider=Microsoft.Mashup.OleDb.1;Data Source=$Workbook$;Location=PDFImport_260330_135135;Extended Properties=&quot;&quot;" commandType="0"/>
  </connection>
  <connection id="143" xr16:uid="{47733E5E-56BC-451E-A40A-562C68DCF4F4}" keepAlive="1" name="接続226" type="5" refreshedVersion="0" background="1">
    <dbPr connection="Provider=Microsoft.Mashup.OleDb.1;Data Source=$Workbook$;Location=PDFImport_260330_231223;Extended Properties=&quot;&quot;" commandType="0"/>
  </connection>
  <connection id="144" xr16:uid="{436AE4FB-889F-4908-8425-C06EF452D4B6}" keepAlive="1" name="接続227" type="5" refreshedVersion="0" background="1">
    <dbPr connection="Provider=Microsoft.Mashup.OleDb.1;Data Source=$Workbook$;Location=PDFImport_260330_231448;Extended Properties=&quot;&quot;" commandType="0"/>
  </connection>
  <connection id="145" xr16:uid="{FF4A8D27-72D5-43F4-B5D2-20ECAA8059C1}" keepAlive="1" name="接続228" type="5" refreshedVersion="0" background="1">
    <dbPr connection="Provider=Microsoft.Mashup.OleDb.1;Data Source=$Workbook$;Location=PDFImport_260330_231551;Extended Properties=&quot;&quot;" commandType="0"/>
  </connection>
  <connection id="146" xr16:uid="{F8B293DE-38CE-425F-A0E8-41BEB04724C3}" keepAlive="1" name="接続229" type="5" refreshedVersion="0" background="1">
    <dbPr connection="Provider=Microsoft.Mashup.OleDb.1;Data Source=$Workbook$;Location=PDFImport_260330_231803;Extended Properties=&quot;&quot;" commandType="0"/>
  </connection>
  <connection id="147" xr16:uid="{48831037-3662-4941-8B43-905A711BBB85}" keepAlive="1" name="接続23" type="5" refreshedVersion="0" background="1">
    <dbPr connection="Provider=Microsoft.Mashup.OleDb.1;Data Source=$Workbook$;Location=PDFImport_260324_144755;Extended Properties=&quot;&quot;" commandType="0"/>
  </connection>
  <connection id="148" xr16:uid="{10D7C331-46F9-4C6E-8E15-94732B2AAB77}" keepAlive="1" name="接続230" type="5" refreshedVersion="0" background="1">
    <dbPr connection="Provider=Microsoft.Mashup.OleDb.1;Data Source=$Workbook$;Location=PDFImport_260330_233540;Extended Properties=&quot;&quot;" commandType="0"/>
  </connection>
  <connection id="149" xr16:uid="{3FEE64DF-BF4E-4B49-81C0-8B6AD5921E1E}" keepAlive="1" name="接続231" type="5" refreshedVersion="0" background="1">
    <dbPr connection="Provider=Microsoft.Mashup.OleDb.1;Data Source=$Workbook$;Location=PDFImport_260330_233718;Extended Properties=&quot;&quot;" commandType="0"/>
  </connection>
  <connection id="150" xr16:uid="{BB1E3755-9CDA-4522-A383-7C7E62CB54B4}" keepAlive="1" name="接続232" type="5" refreshedVersion="0" background="1">
    <dbPr connection="Provider=Microsoft.Mashup.OleDb.1;Data Source=$Workbook$;Location=PDFImport_260330_233904;Extended Properties=&quot;&quot;" commandType="0"/>
  </connection>
  <connection id="151" xr16:uid="{69B0637C-8C74-40FC-858E-9ECD52F8D6D7}" keepAlive="1" name="接続233" type="5" refreshedVersion="0" background="1">
    <dbPr connection="Provider=Microsoft.Mashup.OleDb.1;Data Source=$Workbook$;Location=PDFImport_260330_234516;Extended Properties=&quot;&quot;" commandType="0"/>
  </connection>
  <connection id="152" xr16:uid="{94FBB55C-2C04-48A8-9583-A8528F8B4A79}" keepAlive="1" name="接続234" type="5" refreshedVersion="0" background="1">
    <dbPr connection="Provider=Microsoft.Mashup.OleDb.1;Data Source=$Workbook$;Location=PDFImport_260330_234752;Extended Properties=&quot;&quot;" commandType="0"/>
  </connection>
  <connection id="153" xr16:uid="{F62765AC-0997-443C-AE3B-EA3A7FFDD289}" keepAlive="1" name="接続235" type="5" refreshedVersion="0" background="1">
    <dbPr connection="Provider=Microsoft.Mashup.OleDb.1;Data Source=$Workbook$;Location=PDFImport_260330_234915;Extended Properties=&quot;&quot;" commandType="0"/>
  </connection>
  <connection id="154" xr16:uid="{42BE3A4F-4C12-430A-9D20-2D36334866BF}" keepAlive="1" name="接続236" type="5" refreshedVersion="0" background="1">
    <dbPr connection="Provider=Microsoft.Mashup.OleDb.1;Data Source=$Workbook$;Location=PDFImport_260330_235121;Extended Properties=&quot;&quot;" commandType="0"/>
  </connection>
  <connection id="155" xr16:uid="{0C7FE56D-BF20-4CA5-B7DC-247809857924}" keepAlive="1" name="接続237" type="5" refreshedVersion="0" background="1">
    <dbPr connection="Provider=Microsoft.Mashup.OleDb.1;Data Source=$Workbook$;Location=PDFImport_260331_001143;Extended Properties=&quot;&quot;" commandType="0"/>
  </connection>
  <connection id="156" xr16:uid="{FF7ECB8D-CF08-4AAB-BE96-32297990A9DF}" keepAlive="1" name="接続238" type="5" refreshedVersion="0" background="1">
    <dbPr connection="Provider=Microsoft.Mashup.OleDb.1;Data Source=$Workbook$;Location=PDFImport_260331_002753;Extended Properties=&quot;&quot;" commandType="0"/>
  </connection>
  <connection id="157" xr16:uid="{4C34ADB5-885A-4FA9-8678-D15026BC3C94}" keepAlive="1" name="接続239" type="5" refreshedVersion="0" background="1">
    <dbPr connection="Provider=Microsoft.Mashup.OleDb.1;Data Source=$Workbook$;Location=PDFImport_260331_003256;Extended Properties=&quot;&quot;" commandType="0"/>
  </connection>
  <connection id="158" xr16:uid="{C5F8FE9C-1716-41C0-9073-6FD830336B52}" keepAlive="1" name="接続24" type="5" refreshedVersion="0" background="1">
    <dbPr connection="Provider=Microsoft.Mashup.OleDb.1;Data Source=$Workbook$;Location=PDFImport_260324_152410;Extended Properties=&quot;&quot;" commandType="0"/>
  </connection>
  <connection id="159" xr16:uid="{99415D8C-177B-4A9C-941D-3C61B4EDD793}" keepAlive="1" name="接続240" type="5" refreshedVersion="0" background="1">
    <dbPr connection="Provider=Microsoft.Mashup.OleDb.1;Data Source=$Workbook$;Location=PDFImport_260331_003456;Extended Properties=&quot;&quot;" commandType="0"/>
  </connection>
  <connection id="160" xr16:uid="{B5A41599-AB06-4718-92E8-089DF755DE84}" keepAlive="1" name="接続241" type="5" refreshedVersion="0" background="1">
    <dbPr connection="Provider=Microsoft.Mashup.OleDb.1;Data Source=$Workbook$;Location=PDFImport_260331_004030;Extended Properties=&quot;&quot;" commandType="0"/>
  </connection>
  <connection id="161" xr16:uid="{26E23DBD-90B1-421F-9997-CDD1EAC02906}" keepAlive="1" name="接続242" type="5" refreshedVersion="0" background="1">
    <dbPr connection="Provider=Microsoft.Mashup.OleDb.1;Data Source=$Workbook$;Location=PDFImport_260331_004410;Extended Properties=&quot;&quot;" commandType="0"/>
  </connection>
  <connection id="162" xr16:uid="{9FE8076A-1009-4AB5-80C9-0B9589EF0A58}" keepAlive="1" name="接続243" type="5" refreshedVersion="0" background="1">
    <dbPr connection="Provider=Microsoft.Mashup.OleDb.1;Data Source=$Workbook$;Location=PDFImport_260331_004554;Extended Properties=&quot;&quot;" commandType="0"/>
  </connection>
  <connection id="163" xr16:uid="{AEEE4698-94E4-41C0-AECD-F0C84EDA77E8}" keepAlive="1" name="接続244" type="5" refreshedVersion="0" background="1">
    <dbPr connection="Provider=Microsoft.Mashup.OleDb.1;Data Source=$Workbook$;Location=PDFImport_260331_004841;Extended Properties=&quot;&quot;" commandType="0"/>
  </connection>
  <connection id="164" xr16:uid="{D07C7DF7-CC58-4B5D-BAE7-7E14A4C8DDE4}" keepAlive="1" name="接続245" type="5" refreshedVersion="0" background="1">
    <dbPr connection="Provider=Microsoft.Mashup.OleDb.1;Data Source=$Workbook$;Location=PDFImport_260331_004953;Extended Properties=&quot;&quot;" commandType="0"/>
  </connection>
  <connection id="165" xr16:uid="{FCB721A5-49FE-4AF0-A962-3B68A29671F7}" keepAlive="1" name="接続246" type="5" refreshedVersion="0" background="1">
    <dbPr connection="Provider=Microsoft.Mashup.OleDb.1;Data Source=$Workbook$;Location=PDFImport_260331_005216;Extended Properties=&quot;&quot;" commandType="0"/>
  </connection>
  <connection id="166" xr16:uid="{444A8A2B-9A28-411C-9F5A-596513DAE290}" keepAlive="1" name="接続247" type="5" refreshedVersion="0" background="1">
    <dbPr connection="Provider=Microsoft.Mashup.OleDb.1;Data Source=$Workbook$;Location=PDFImport_260331_005412;Extended Properties=&quot;&quot;" commandType="0"/>
  </connection>
  <connection id="167" xr16:uid="{93C2AFD3-D3BC-4E26-AFC4-8764EE719417}" keepAlive="1" name="接続248" type="5" refreshedVersion="0" background="1">
    <dbPr connection="Provider=Microsoft.Mashup.OleDb.1;Data Source=$Workbook$;Location=PDFImport_260331_005702;Extended Properties=&quot;&quot;" commandType="0"/>
  </connection>
  <connection id="168" xr16:uid="{C09A21E4-A492-45E1-8C18-DD084F7F2BD1}" keepAlive="1" name="接続249" type="5" refreshedVersion="0" background="1">
    <dbPr connection="Provider=Microsoft.Mashup.OleDb.1;Data Source=$Workbook$;Location=PDFImport_260331_010125;Extended Properties=&quot;&quot;" commandType="0"/>
  </connection>
  <connection id="169" xr16:uid="{C1A1B350-7F92-434C-A528-44767DB1ECD9}" keepAlive="1" name="接続25" type="5" refreshedVersion="0" background="1">
    <dbPr connection="Provider=Microsoft.Mashup.OleDb.1;Data Source=$Workbook$;Location=PDFImport_260324_153627;Extended Properties=&quot;&quot;" commandType="0"/>
  </connection>
  <connection id="170" xr16:uid="{D11AC881-496E-4482-B59F-404ABBF9FA75}" keepAlive="1" name="接続250" type="5" refreshedVersion="0" background="1">
    <dbPr connection="Provider=Microsoft.Mashup.OleDb.1;Data Source=$Workbook$;Location=PDFImport_260331_010245;Extended Properties=&quot;&quot;" commandType="0"/>
  </connection>
  <connection id="171" xr16:uid="{6A0547F4-3E04-408D-A4EB-86D353CB691C}" keepAlive="1" name="接続251" type="5" refreshedVersion="0" background="1">
    <dbPr connection="Provider=Microsoft.Mashup.OleDb.1;Data Source=$Workbook$;Location=PDFImport_260331_010321;Extended Properties=&quot;&quot;" commandType="0"/>
  </connection>
  <connection id="172" xr16:uid="{BD4CB41F-D9BF-418C-ABBE-370FFDA86468}" keepAlive="1" name="接続252" type="5" refreshedVersion="0" background="1">
    <dbPr connection="Provider=Microsoft.Mashup.OleDb.1;Data Source=$Workbook$;Location=PDFImport_260331_010759;Extended Properties=&quot;&quot;" commandType="0"/>
  </connection>
  <connection id="173" xr16:uid="{17BDE6B4-0A1A-4B45-99E8-66340195BFAB}" keepAlive="1" name="接続253" type="5" refreshedVersion="0" background="1">
    <dbPr connection="Provider=Microsoft.Mashup.OleDb.1;Data Source=$Workbook$;Location=PDFImport_260331_010915;Extended Properties=&quot;&quot;" commandType="0"/>
  </connection>
  <connection id="174" xr16:uid="{291E9481-99E6-47A0-AA6C-AB25C36D936F}" keepAlive="1" name="接続254" type="5" refreshedVersion="0" background="1">
    <dbPr connection="Provider=Microsoft.Mashup.OleDb.1;Data Source=$Workbook$;Location=PDFImport_260331_013948;Extended Properties=&quot;&quot;" commandType="0"/>
  </connection>
  <connection id="175" xr16:uid="{27288C57-D23D-45E6-A4B6-DB44734817AD}" keepAlive="1" name="接続255" type="5" refreshedVersion="0" background="1">
    <dbPr connection="Provider=Microsoft.Mashup.OleDb.1;Data Source=$Workbook$;Location=PDFImport_260331_022305;Extended Properties=&quot;&quot;" commandType="0"/>
  </connection>
  <connection id="176" xr16:uid="{B512B354-61F5-4FBD-883C-AF8E48CBD589}" keepAlive="1" name="接続256" type="5" refreshedVersion="0" background="1">
    <dbPr connection="Provider=Microsoft.Mashup.OleDb.1;Data Source=$Workbook$;Location=PDFImport_260331_080531;Extended Properties=&quot;&quot;" commandType="0"/>
  </connection>
  <connection id="177" xr16:uid="{C19F286A-21D4-40FC-ADE0-51A9484391FF}" keepAlive="1" name="接続257" type="5" refreshedVersion="0" background="1">
    <dbPr connection="Provider=Microsoft.Mashup.OleDb.1;Data Source=$Workbook$;Location=PDFImport_260331_211404;Extended Properties=&quot;&quot;" commandType="0"/>
  </connection>
  <connection id="178" xr16:uid="{F277FA2A-9FF5-4EED-BB49-27EF86C08DB5}" keepAlive="1" name="接続258" type="5" refreshedVersion="0" background="1">
    <dbPr connection="Provider=Microsoft.Mashup.OleDb.1;Data Source=$Workbook$;Location=PDFImport_260331_211935;Extended Properties=&quot;&quot;" commandType="0"/>
  </connection>
  <connection id="179" xr16:uid="{42465AA4-504A-49B4-B316-CA7630DF6BC2}" keepAlive="1" name="接続259" type="5" refreshedVersion="0" background="1">
    <dbPr connection="Provider=Microsoft.Mashup.OleDb.1;Data Source=$Workbook$;Location=PDFImport_260331_232458;Extended Properties=&quot;&quot;" commandType="0"/>
  </connection>
  <connection id="180" xr16:uid="{00A10E88-3F95-4A0D-AE65-C8FF07F878BB}" keepAlive="1" name="接続26" type="5" refreshedVersion="0" background="1">
    <dbPr connection="Provider=Microsoft.Mashup.OleDb.1;Data Source=$Workbook$;Location=PDFImport_260324_153827;Extended Properties=&quot;&quot;" commandType="0"/>
  </connection>
  <connection id="181" xr16:uid="{03AA97DD-1ECD-49BE-9D49-4850332AD23E}" keepAlive="1" name="接続260" type="5" refreshedVersion="0" background="1">
    <dbPr connection="Provider=Microsoft.Mashup.OleDb.1;Data Source=$Workbook$;Location=PDFImport_260331_232544;Extended Properties=&quot;&quot;" commandType="0"/>
  </connection>
  <connection id="182" xr16:uid="{1EE7294C-E378-49EA-BF75-3033A2BDF826}" keepAlive="1" name="接続261" type="5" refreshedVersion="0" background="1">
    <dbPr connection="Provider=Microsoft.Mashup.OleDb.1;Data Source=$Workbook$;Location=PDFImport_260331_234014;Extended Properties=&quot;&quot;" commandType="0"/>
  </connection>
  <connection id="183" xr16:uid="{D399A930-5D30-46C5-A7C2-D75FC9EBE586}" keepAlive="1" name="接続262" type="5" refreshedVersion="0" background="1">
    <dbPr connection="Provider=Microsoft.Mashup.OleDb.1;Data Source=$Workbook$;Location=PDFImport_260331_234911;Extended Properties=&quot;&quot;" commandType="0"/>
  </connection>
  <connection id="184" xr16:uid="{E409F677-2D4A-4198-B633-2A2AC3205D03}" keepAlive="1" name="接続263" type="5" refreshedVersion="0" background="1">
    <dbPr connection="Provider=Microsoft.Mashup.OleDb.1;Data Source=$Workbook$;Location=PDFImport_260401_001038;Extended Properties=&quot;&quot;" commandType="0"/>
  </connection>
  <connection id="185" xr16:uid="{9DEFCFAD-07CF-4527-A47E-36D3E4CAD1F4}" keepAlive="1" name="接続264" type="5" refreshedVersion="0" background="1">
    <dbPr connection="Provider=Microsoft.Mashup.OleDb.1;Data Source=$Workbook$;Location=PDFImport_260401_003007;Extended Properties=&quot;&quot;" commandType="0"/>
  </connection>
  <connection id="186" xr16:uid="{4B2580D2-93D9-458F-A897-25509CB5E3BC}" keepAlive="1" name="接続265" type="5" refreshedVersion="0" background="1">
    <dbPr connection="Provider=Microsoft.Mashup.OleDb.1;Data Source=$Workbook$;Location=PDFImport_260401_003640;Extended Properties=&quot;&quot;" commandType="0"/>
  </connection>
  <connection id="187" xr16:uid="{6B92BDBC-389F-48E7-B27B-D053970AF06D}" keepAlive="1" name="接続266" type="5" refreshedVersion="0" background="1">
    <dbPr connection="Provider=Microsoft.Mashup.OleDb.1;Data Source=$Workbook$;Location=PDFImport_260401_003654;Extended Properties=&quot;&quot;" commandType="0"/>
  </connection>
  <connection id="188" xr16:uid="{FCE9D569-5EA1-4A1B-853C-DD2FDB526362}" keepAlive="1" name="接続267" type="5" refreshedVersion="0" background="1">
    <dbPr connection="Provider=Microsoft.Mashup.OleDb.1;Data Source=$Workbook$;Location=PDFImport_260401_003914;Extended Properties=&quot;&quot;" commandType="0"/>
  </connection>
  <connection id="189" xr16:uid="{2001A669-970F-4B37-9FFF-B3A111037648}" keepAlive="1" name="接続268" type="5" refreshedVersion="0" background="1">
    <dbPr connection="Provider=Microsoft.Mashup.OleDb.1;Data Source=$Workbook$;Location=PDFImport_260401_004427;Extended Properties=&quot;&quot;" commandType="0"/>
  </connection>
  <connection id="190" xr16:uid="{8A3CB956-54FC-4084-96CD-E23C238AA01D}" keepAlive="1" name="接続269" type="5" refreshedVersion="0" background="1">
    <dbPr connection="Provider=Microsoft.Mashup.OleDb.1;Data Source=$Workbook$;Location=PDFImport_260401_004547;Extended Properties=&quot;&quot;" commandType="0"/>
  </connection>
  <connection id="191" xr16:uid="{83A108F7-490B-4E16-8E82-83E972F402BE}" keepAlive="1" name="接続27" type="5" refreshedVersion="0" background="1">
    <dbPr connection="Provider=Microsoft.Mashup.OleDb.1;Data Source=$Workbook$;Location=PDFImport_260324_155418;Extended Properties=&quot;&quot;" commandType="0"/>
  </connection>
  <connection id="192" xr16:uid="{0FC0433B-0E34-4200-AD0E-736912F55E07}" keepAlive="1" name="接続270" type="5" refreshedVersion="0" background="1">
    <dbPr connection="Provider=Microsoft.Mashup.OleDb.1;Data Source=$Workbook$;Location=PDFImport_260401_005002;Extended Properties=&quot;&quot;" commandType="0"/>
  </connection>
  <connection id="193" xr16:uid="{DFFFB915-C720-4C3C-8209-F32699F8E1F8}" keepAlive="1" name="接続271" type="5" refreshedVersion="0" background="1">
    <dbPr connection="Provider=Microsoft.Mashup.OleDb.1;Data Source=$Workbook$;Location=PDFImport_260401_005100;Extended Properties=&quot;&quot;" commandType="0"/>
  </connection>
  <connection id="194" xr16:uid="{C1BF1282-B890-485D-BAE7-612B634A74DC}" keepAlive="1" name="接続272" type="5" refreshedVersion="0" background="1">
    <dbPr connection="Provider=Microsoft.Mashup.OleDb.1;Data Source=$Workbook$;Location=PDFImport_260401_005325;Extended Properties=&quot;&quot;" commandType="0"/>
  </connection>
  <connection id="195" xr16:uid="{47907F49-AE1E-4003-9BB5-61E197FE20ED}" keepAlive="1" name="接続273" type="5" refreshedVersion="0" background="1">
    <dbPr connection="Provider=Microsoft.Mashup.OleDb.1;Data Source=$Workbook$;Location=PDFImport_260401_005511;Extended Properties=&quot;&quot;" commandType="0"/>
  </connection>
  <connection id="196" xr16:uid="{B892B97F-1E10-4095-8FFB-968EFFADA14D}" keepAlive="1" name="接続274" type="5" refreshedVersion="0" background="1">
    <dbPr connection="Provider=Microsoft.Mashup.OleDb.1;Data Source=$Workbook$;Location=PDFImport_260401_010011;Extended Properties=&quot;&quot;" commandType="0"/>
  </connection>
  <connection id="197" xr16:uid="{88E7C19D-AD55-4F5F-9B9E-69F0A9F65B78}" keepAlive="1" name="接続275" type="5" refreshedVersion="0" background="1">
    <dbPr connection="Provider=Microsoft.Mashup.OleDb.1;Data Source=$Workbook$;Location=PDFImport_260401_010135;Extended Properties=&quot;&quot;" commandType="0"/>
  </connection>
  <connection id="198" xr16:uid="{14E4EE77-31FF-412A-A8B4-7C1B6345A202}" keepAlive="1" name="接続276" type="5" refreshedVersion="0" background="1">
    <dbPr connection="Provider=Microsoft.Mashup.OleDb.1;Data Source=$Workbook$;Location=PDFImport_260401_010228;Extended Properties=&quot;&quot;" commandType="0"/>
  </connection>
  <connection id="199" xr16:uid="{605966BB-712E-4E49-B5E1-0AC68EEE2CB6}" keepAlive="1" name="接続277" type="5" refreshedVersion="0" background="1">
    <dbPr connection="Provider=Microsoft.Mashup.OleDb.1;Data Source=$Workbook$;Location=PDFImport_260401_010320;Extended Properties=&quot;&quot;" commandType="0"/>
  </connection>
  <connection id="200" xr16:uid="{437C69EA-3DE8-496A-9A15-2A6E872DFD03}" keepAlive="1" name="接続278" type="5" refreshedVersion="0" background="1">
    <dbPr connection="Provider=Microsoft.Mashup.OleDb.1;Data Source=$Workbook$;Location=PDFImport_260401_010531;Extended Properties=&quot;&quot;" commandType="0"/>
  </connection>
  <connection id="201" xr16:uid="{3BE2025F-C930-46BB-B9F5-8E5464A39ED0}" keepAlive="1" name="接続279" type="5" refreshedVersion="0" background="1">
    <dbPr connection="Provider=Microsoft.Mashup.OleDb.1;Data Source=$Workbook$;Location=PDFImport_260401_010545;Extended Properties=&quot;&quot;" commandType="0"/>
  </connection>
  <connection id="202" xr16:uid="{33AC88BC-3FEF-457A-8C5E-8F076E8E58F1}" keepAlive="1" name="接続28" type="5" refreshedVersion="0" background="1">
    <dbPr connection="Provider=Microsoft.Mashup.OleDb.1;Data Source=$Workbook$;Location=PDFImport_260324_155736;Extended Properties=&quot;&quot;" commandType="0"/>
  </connection>
  <connection id="203" xr16:uid="{9B9D80AB-7143-4C41-8A28-76F286DE6C02}" keepAlive="1" name="接続280" type="5" refreshedVersion="0" background="1">
    <dbPr connection="Provider=Microsoft.Mashup.OleDb.1;Data Source=$Workbook$;Location=PDFImport_260401_011023;Extended Properties=&quot;&quot;" commandType="0"/>
  </connection>
  <connection id="204" xr16:uid="{6120EA24-F3FA-4A4E-952F-D700ECECF943}" keepAlive="1" name="接続281" type="5" refreshedVersion="0" background="1">
    <dbPr connection="Provider=Microsoft.Mashup.OleDb.1;Data Source=$Workbook$;Location=PDFImport_260401_011043;Extended Properties=&quot;&quot;" commandType="0"/>
  </connection>
  <connection id="205" xr16:uid="{AC5F70A1-B788-4A7F-A64C-0C46813FF242}" keepAlive="1" name="接続282" type="5" refreshedVersion="0" background="1">
    <dbPr connection="Provider=Microsoft.Mashup.OleDb.1;Data Source=$Workbook$;Location=PDFImport_260401_011115;Extended Properties=&quot;&quot;" commandType="0"/>
  </connection>
  <connection id="206" xr16:uid="{F96C6933-4DEF-422B-89BA-CF150AFC2BB1}" keepAlive="1" name="接続283" type="5" refreshedVersion="0" background="1">
    <dbPr connection="Provider=Microsoft.Mashup.OleDb.1;Data Source=$Workbook$;Location=PDFImport_260401_011140;Extended Properties=&quot;&quot;" commandType="0"/>
  </connection>
  <connection id="207" xr16:uid="{80D0355A-98A7-4742-9F59-58FFD3D977C4}" keepAlive="1" name="接続284" type="5" refreshedVersion="0" background="1">
    <dbPr connection="Provider=Microsoft.Mashup.OleDb.1;Data Source=$Workbook$;Location=PDFImport_260401_011817;Extended Properties=&quot;&quot;" commandType="0"/>
  </connection>
  <connection id="208" xr16:uid="{6BB8C729-C119-4AB5-8D15-9619A0A15169}" keepAlive="1" name="接続285" type="5" refreshedVersion="0" background="1">
    <dbPr connection="Provider=Microsoft.Mashup.OleDb.1;Data Source=$Workbook$;Location=PDFImport_260401_011834;Extended Properties=&quot;&quot;" commandType="0"/>
  </connection>
  <connection id="209" xr16:uid="{49146C40-6E36-4146-9746-50698A3193F0}" keepAlive="1" name="接続286" type="5" refreshedVersion="0" background="1">
    <dbPr connection="Provider=Microsoft.Mashup.OleDb.1;Data Source=$Workbook$;Location=PDFImport_260401_011850;Extended Properties=&quot;&quot;" commandType="0"/>
  </connection>
  <connection id="210" xr16:uid="{4050F837-795A-4754-AE9B-D3018583B6CF}" keepAlive="1" name="接続287" type="5" refreshedVersion="0" background="1">
    <dbPr connection="Provider=Microsoft.Mashup.OleDb.1;Data Source=$Workbook$;Location=PDFImport_260401_011905;Extended Properties=&quot;&quot;" commandType="0"/>
  </connection>
  <connection id="211" xr16:uid="{03ABB0B0-FBC3-4BCE-85E6-CC34044DA17D}" keepAlive="1" name="接続288" type="5" refreshedVersion="0" background="1">
    <dbPr connection="Provider=Microsoft.Mashup.OleDb.1;Data Source=$Workbook$;Location=PDFImport_260401_011945;Extended Properties=&quot;&quot;" commandType="0"/>
  </connection>
  <connection id="212" xr16:uid="{ADF7C2AE-7A94-41B5-9E75-B6E6E92464B8}" keepAlive="1" name="接続289" type="5" refreshedVersion="0" background="1">
    <dbPr connection="Provider=Microsoft.Mashup.OleDb.1;Data Source=$Workbook$;Location=PDFImport_260401_013403;Extended Properties=&quot;&quot;" commandType="0"/>
  </connection>
  <connection id="213" xr16:uid="{427E57DD-16D4-4968-90C1-0E5BDBC4B88E}" keepAlive="1" name="接続29" type="5" refreshedVersion="0" background="1">
    <dbPr connection="Provider=Microsoft.Mashup.OleDb.1;Data Source=$Workbook$;Location=PDFImport_260324_160143;Extended Properties=&quot;&quot;" commandType="0"/>
  </connection>
  <connection id="214" xr16:uid="{A9789305-2A09-4326-B787-3330D508DD6B}" keepAlive="1" name="接続290" type="5" refreshedVersion="0" background="1">
    <dbPr connection="Provider=Microsoft.Mashup.OleDb.1;Data Source=$Workbook$;Location=PDFImport_260401_013423;Extended Properties=&quot;&quot;" commandType="0"/>
  </connection>
  <connection id="215" xr16:uid="{2A2767AD-0774-4880-A78C-87BFA65CAA49}" keepAlive="1" name="接続291" type="5" refreshedVersion="0" background="1">
    <dbPr connection="Provider=Microsoft.Mashup.OleDb.1;Data Source=$Workbook$;Location=PDFImport_260401_013526;Extended Properties=&quot;&quot;" commandType="0"/>
  </connection>
  <connection id="216" xr16:uid="{1C8EB606-F563-4C74-8DE0-97946FB3DCCE}" keepAlive="1" name="接続292" type="5" refreshedVersion="0" background="1">
    <dbPr connection="Provider=Microsoft.Mashup.OleDb.1;Data Source=$Workbook$;Location=PDFImport_260401_013538;Extended Properties=&quot;&quot;" commandType="0"/>
  </connection>
  <connection id="217" xr16:uid="{39FAD684-311F-44A7-A886-7D0D7053CED0}" keepAlive="1" name="接続293" type="5" refreshedVersion="0" background="1">
    <dbPr connection="Provider=Microsoft.Mashup.OleDb.1;Data Source=$Workbook$;Location=PDFImport_260401_014630;Extended Properties=&quot;&quot;" commandType="0"/>
  </connection>
  <connection id="218" xr16:uid="{F6018B90-1273-469A-8F15-59138FC00C89}" keepAlive="1" name="接続294" type="5" refreshedVersion="0" background="1">
    <dbPr connection="Provider=Microsoft.Mashup.OleDb.1;Data Source=$Workbook$;Location=PDFImport_260401_014650;Extended Properties=&quot;&quot;" commandType="0"/>
  </connection>
  <connection id="219" xr16:uid="{B98A2138-9054-4C54-9289-545F629DBA05}" keepAlive="1" name="接続295" type="5" refreshedVersion="0" background="1">
    <dbPr connection="Provider=Microsoft.Mashup.OleDb.1;Data Source=$Workbook$;Location=PDFImport_260401_014708;Extended Properties=&quot;&quot;" commandType="0"/>
  </connection>
  <connection id="220" xr16:uid="{112882C2-E8AF-40A0-A051-9D0E6B299A21}" keepAlive="1" name="接続296" type="5" refreshedVersion="0" background="1">
    <dbPr connection="Provider=Microsoft.Mashup.OleDb.1;Data Source=$Workbook$;Location=PDFImport_260401_014720;Extended Properties=&quot;&quot;" commandType="0"/>
  </connection>
  <connection id="221" xr16:uid="{F948615D-9746-47A4-99A0-DACD70E1B123}" keepAlive="1" name="接続297" type="5" refreshedVersion="0" background="1">
    <dbPr connection="Provider=Microsoft.Mashup.OleDb.1;Data Source=$Workbook$;Location=PDFImport_260401_014819;Extended Properties=&quot;&quot;" commandType="0"/>
  </connection>
  <connection id="222" xr16:uid="{69ED6C7B-ACF7-4330-9DF2-2480A67DF389}" keepAlive="1" name="接続298" type="5" refreshedVersion="0" background="1">
    <dbPr connection="Provider=Microsoft.Mashup.OleDb.1;Data Source=$Workbook$;Location=PDFImport_260401_014950;Extended Properties=&quot;&quot;" commandType="0"/>
  </connection>
  <connection id="223" xr16:uid="{257B9229-64D4-412B-8F7A-D8C13F155A2D}" keepAlive="1" name="接続299" type="5" refreshedVersion="0" background="1">
    <dbPr connection="Provider=Microsoft.Mashup.OleDb.1;Data Source=$Workbook$;Location=PDFImport_260401_015854;Extended Properties=&quot;&quot;" commandType="0"/>
  </connection>
  <connection id="224" xr16:uid="{93C6BB39-A5F8-46E7-BED7-AD2CA3B2677A}" keepAlive="1" name="接続3" type="5" refreshedVersion="0" background="1">
    <dbPr connection="Provider=Microsoft.Mashup.OleDb.1;Data Source=$Workbook$;Location=PDFImport_260319_233643;Extended Properties=&quot;&quot;" commandType="0"/>
  </connection>
  <connection id="225" xr16:uid="{7D56A59B-044D-4BB0-BF9E-ACBF68FE0091}" keepAlive="1" name="接続30" type="5" refreshedVersion="0" background="1">
    <dbPr connection="Provider=Microsoft.Mashup.OleDb.1;Data Source=$Workbook$;Location=PDFImport_260324_160525;Extended Properties=&quot;&quot;" commandType="0"/>
  </connection>
  <connection id="226" xr16:uid="{656626C7-D5BA-4C07-BE87-8544D4D3BA57}" keepAlive="1" name="接続300" type="5" refreshedVersion="0" background="1">
    <dbPr connection="Provider=Microsoft.Mashup.OleDb.1;Data Source=$Workbook$;Location=PDFImport_260401_015926;Extended Properties=&quot;&quot;" commandType="0"/>
  </connection>
  <connection id="227" xr16:uid="{93C137B6-E5A4-4483-A1B9-539EC29D123F}" keepAlive="1" name="接続301" type="5" refreshedVersion="0" background="1">
    <dbPr connection="Provider=Microsoft.Mashup.OleDb.1;Data Source=$Workbook$;Location=PDFImport_260401_020016;Extended Properties=&quot;&quot;" commandType="0"/>
  </connection>
  <connection id="228" xr16:uid="{D435038D-6902-4C57-9BF6-A60C911A7B29}" keepAlive="1" name="接続302" type="5" refreshedVersion="0" background="1">
    <dbPr connection="Provider=Microsoft.Mashup.OleDb.1;Data Source=$Workbook$;Location=PDFImport_260401_020028;Extended Properties=&quot;&quot;" commandType="0"/>
  </connection>
  <connection id="229" xr16:uid="{D07F46B9-23BD-42A7-8D10-538414B593AE}" keepAlive="1" name="接続303" type="5" refreshedVersion="0" background="1">
    <dbPr connection="Provider=Microsoft.Mashup.OleDb.1;Data Source=$Workbook$;Location=PDFImport_260401_020408;Extended Properties=&quot;&quot;" commandType="0"/>
  </connection>
  <connection id="230" xr16:uid="{09FC660E-D955-45F8-9B65-EEAEF1A4AAF5}" keepAlive="1" name="接続304" type="5" refreshedVersion="0" background="1">
    <dbPr connection="Provider=Microsoft.Mashup.OleDb.1;Data Source=$Workbook$;Location=PDFImport_260401_020437;Extended Properties=&quot;&quot;" commandType="0"/>
  </connection>
  <connection id="231" xr16:uid="{7FA2539A-FAEE-42F5-BBD4-C4469ABB476B}" keepAlive="1" name="接続305" type="5" refreshedVersion="0" background="1">
    <dbPr connection="Provider=Microsoft.Mashup.OleDb.1;Data Source=$Workbook$;Location=PDFImport_260401_020604;Extended Properties=&quot;&quot;" commandType="0"/>
  </connection>
  <connection id="232" xr16:uid="{23F0FE3F-5DB4-4F7E-A76A-4DF87A9AAE1B}" keepAlive="1" name="接続306" type="5" refreshedVersion="0" background="1">
    <dbPr connection="Provider=Microsoft.Mashup.OleDb.1;Data Source=$Workbook$;Location=PDFImport_260401_020703;Extended Properties=&quot;&quot;" commandType="0"/>
  </connection>
  <connection id="233" xr16:uid="{87282302-9478-4107-8B2E-64913284EDFC}" keepAlive="1" name="接続307" type="5" refreshedVersion="0" background="1">
    <dbPr connection="Provider=Microsoft.Mashup.OleDb.1;Data Source=$Workbook$;Location=PDFImport_260401_020742;Extended Properties=&quot;&quot;" commandType="0"/>
  </connection>
  <connection id="234" xr16:uid="{72E4DE05-3A3A-4759-B61D-D2FC523F53BC}" keepAlive="1" name="接続308" type="5" refreshedVersion="0" background="1">
    <dbPr connection="Provider=Microsoft.Mashup.OleDb.1;Data Source=$Workbook$;Location=PDFImport_260401_020756;Extended Properties=&quot;&quot;" commandType="0"/>
  </connection>
  <connection id="235" xr16:uid="{0B0088F3-153B-4D29-8C6B-78181E0CF030}" keepAlive="1" name="接続309" type="5" refreshedVersion="0" background="1">
    <dbPr connection="Provider=Microsoft.Mashup.OleDb.1;Data Source=$Workbook$;Location=PDFImport_260401_020927;Extended Properties=&quot;&quot;" commandType="0"/>
  </connection>
  <connection id="236" xr16:uid="{F325B3AD-ABE5-49B5-AA6A-411606D0F945}" keepAlive="1" name="接続31" type="5" refreshedVersion="0" background="1">
    <dbPr connection="Provider=Microsoft.Mashup.OleDb.1;Data Source=$Workbook$;Location=PDFImport_260324_160711;Extended Properties=&quot;&quot;" commandType="0"/>
  </connection>
  <connection id="237" xr16:uid="{380B98A7-3A1A-4578-AEE6-14FD56CE63FD}" keepAlive="1" name="接続310" type="5" refreshedVersion="0" background="1">
    <dbPr connection="Provider=Microsoft.Mashup.OleDb.1;Data Source=$Workbook$;Location=PDFImport_260401_021055;Extended Properties=&quot;&quot;" commandType="0"/>
  </connection>
  <connection id="238" xr16:uid="{83CAD4A3-D98E-49B2-96EE-F5966BF1FEB6}" keepAlive="1" name="接続311" type="5" refreshedVersion="0" background="1">
    <dbPr connection="Provider=Microsoft.Mashup.OleDb.1;Data Source=$Workbook$;Location=PDFImport_260401_021113;Extended Properties=&quot;&quot;" commandType="0"/>
  </connection>
  <connection id="239" xr16:uid="{698CEA52-EA02-4EEA-ADD6-38FAF4254313}" keepAlive="1" name="接続312" type="5" refreshedVersion="0" background="1">
    <dbPr connection="Provider=Microsoft.Mashup.OleDb.1;Data Source=$Workbook$;Location=PDFImport_260401_021609;Extended Properties=&quot;&quot;" commandType="0"/>
  </connection>
  <connection id="240" xr16:uid="{AFA05C53-5372-4A1D-8588-750D52A9AD97}" keepAlive="1" name="接続313" type="5" refreshedVersion="0" background="1">
    <dbPr connection="Provider=Microsoft.Mashup.OleDb.1;Data Source=$Workbook$;Location=PDFImport_260401_021629;Extended Properties=&quot;&quot;" commandType="0"/>
  </connection>
  <connection id="241" xr16:uid="{BDB6FC53-3985-4712-839E-81D86E9A825D}" keepAlive="1" name="接続314" type="5" refreshedVersion="0" background="1">
    <dbPr connection="Provider=Microsoft.Mashup.OleDb.1;Data Source=$Workbook$;Location=PDFImport_260401_103816;Extended Properties=&quot;&quot;" commandType="0"/>
  </connection>
  <connection id="242" xr16:uid="{E260FEEF-DBAC-4EB3-85B8-D31195838679}" keepAlive="1" name="接続315" type="5" refreshedVersion="0" background="1">
    <dbPr connection="Provider=Microsoft.Mashup.OleDb.1;Data Source=$Workbook$;Location=PDFImport_260401_184210;Extended Properties=&quot;&quot;" commandType="0"/>
  </connection>
  <connection id="243" xr16:uid="{AE67AF3C-DB60-4A55-BF77-91550F3FE51D}" keepAlive="1" name="接続316" type="5" refreshedVersion="0" background="1">
    <dbPr connection="Provider=Microsoft.Mashup.OleDb.1;Data Source=$Workbook$;Location=PDFImport_260401_184247;Extended Properties=&quot;&quot;" commandType="0"/>
  </connection>
  <connection id="244" xr16:uid="{1AC416ED-57D3-453E-9C85-F94FFB5994E5}" keepAlive="1" name="接続317" type="5" refreshedVersion="0" background="1">
    <dbPr connection="Provider=Microsoft.Mashup.OleDb.1;Data Source=$Workbook$;Location=PDFImport_260401_192616;Extended Properties=&quot;&quot;" commandType="0"/>
  </connection>
  <connection id="245" xr16:uid="{CAAB15C4-CCB2-456E-95AB-AE10D7154B11}" keepAlive="1" name="接続318" type="5" refreshedVersion="0" background="1">
    <dbPr connection="Provider=Microsoft.Mashup.OleDb.1;Data Source=$Workbook$;Location=PDFImport_260401_210702;Extended Properties=&quot;&quot;" commandType="0"/>
  </connection>
  <connection id="246" xr16:uid="{8760398C-9C9A-4605-BCBF-F3F1C54D1DA8}" keepAlive="1" name="接続319" type="5" refreshedVersion="0" background="1">
    <dbPr connection="Provider=Microsoft.Mashup.OleDb.1;Data Source=$Workbook$;Location=PDFImport_260401_211254;Extended Properties=&quot;&quot;" commandType="0"/>
  </connection>
  <connection id="247" xr16:uid="{89A876E7-8CC1-4734-AD9D-24C875F84672}" keepAlive="1" name="接続32" type="5" refreshedVersion="0" background="1">
    <dbPr connection="Provider=Microsoft.Mashup.OleDb.1;Data Source=$Workbook$;Location=PDFImport_260324_161240;Extended Properties=&quot;&quot;" commandType="0"/>
  </connection>
  <connection id="248" xr16:uid="{1923D5D2-CDCF-473D-80B6-24502EEBF7BA}" keepAlive="1" name="接続320" type="5" refreshedVersion="0" background="1">
    <dbPr connection="Provider=Microsoft.Mashup.OleDb.1;Data Source=$Workbook$;Location=PDFImport_260401_224646;Extended Properties=&quot;&quot;" commandType="0"/>
  </connection>
  <connection id="249" xr16:uid="{4CAB178F-3983-4656-BE51-0D4E219717B7}" keepAlive="1" name="接続321" type="5" refreshedVersion="0" background="1">
    <dbPr connection="Provider=Microsoft.Mashup.OleDb.1;Data Source=$Workbook$;Location=PDFImport_260402_004521;Extended Properties=&quot;&quot;" commandType="0"/>
  </connection>
  <connection id="250" xr16:uid="{432703EB-65B0-4C24-A605-313363ACC127}" keepAlive="1" name="接続322" type="5" refreshedVersion="0" background="1">
    <dbPr connection="Provider=Microsoft.Mashup.OleDb.1;Data Source=$Workbook$;Location=PDFImport_260402_004547;Extended Properties=&quot;&quot;" commandType="0"/>
  </connection>
  <connection id="251" xr16:uid="{B3BEC4B9-9FA1-4A8A-96EC-F0509C4E908C}" keepAlive="1" name="接続323" type="5" refreshedVersion="0" background="1">
    <dbPr connection="Provider=Microsoft.Mashup.OleDb.1;Data Source=$Workbook$;Location=PDFImport_260402_004736;Extended Properties=&quot;&quot;" commandType="0"/>
  </connection>
  <connection id="252" xr16:uid="{BC555E45-46B3-4279-B50D-DE504F70F898}" keepAlive="1" name="接続324" type="5" refreshedVersion="0" background="1">
    <dbPr connection="Provider=Microsoft.Mashup.OleDb.1;Data Source=$Workbook$;Location=PDFImport_260402_005033;Extended Properties=&quot;&quot;" commandType="0"/>
  </connection>
  <connection id="253" xr16:uid="{099A1954-D82B-4455-8137-BBEEA314A513}" keepAlive="1" name="接続325" type="5" refreshedVersion="0" background="1">
    <dbPr connection="Provider=Microsoft.Mashup.OleDb.1;Data Source=$Workbook$;Location=PDFImport_260402_005044;Extended Properties=&quot;&quot;" commandType="0"/>
  </connection>
  <connection id="254" xr16:uid="{2CADCE7E-F8F8-4D47-9740-B5834085E3D5}" keepAlive="1" name="接続326" type="5" refreshedVersion="0" background="1">
    <dbPr connection="Provider=Microsoft.Mashup.OleDb.1;Data Source=$Workbook$;Location=PDFImport_260402_005341;Extended Properties=&quot;&quot;" commandType="0"/>
  </connection>
  <connection id="255" xr16:uid="{134E4FF5-8A5D-40B7-AA52-456B44C02395}" keepAlive="1" name="接続327" type="5" refreshedVersion="0" background="1">
    <dbPr connection="Provider=Microsoft.Mashup.OleDb.1;Data Source=$Workbook$;Location=PDFImport_260402_005355;Extended Properties=&quot;&quot;" commandType="0"/>
  </connection>
  <connection id="256" xr16:uid="{EF6A85C4-6294-45D8-8285-14B3542FB126}" keepAlive="1" name="接続328" type="5" refreshedVersion="0" background="1">
    <dbPr connection="Provider=Microsoft.Mashup.OleDb.1;Data Source=$Workbook$;Location=PDFImport_260402_005805;Extended Properties=&quot;&quot;" commandType="0"/>
  </connection>
  <connection id="257" xr16:uid="{1BA4CB36-C258-42DF-A123-3FD215E1ECAA}" keepAlive="1" name="接続329" type="5" refreshedVersion="0" background="1">
    <dbPr connection="Provider=Microsoft.Mashup.OleDb.1;Data Source=$Workbook$;Location=PDFImport_260402_010740;Extended Properties=&quot;&quot;" commandType="0"/>
  </connection>
  <connection id="258" xr16:uid="{F95BA19B-9D6F-4611-A0AB-E73B7159F418}" keepAlive="1" name="接続33" type="5" refreshedVersion="0" background="1">
    <dbPr connection="Provider=Microsoft.Mashup.OleDb.1;Data Source=$Workbook$;Location=PDFImport_260324_162056;Extended Properties=&quot;&quot;" commandType="0"/>
  </connection>
  <connection id="259" xr16:uid="{C73DACEC-58CD-4DED-B28E-90FFB1D77117}" keepAlive="1" name="接続34" type="5" refreshedVersion="0" background="1">
    <dbPr connection="Provider=Microsoft.Mashup.OleDb.1;Data Source=$Workbook$;Location=PDFImport_260324_165319;Extended Properties=&quot;&quot;" commandType="0"/>
  </connection>
  <connection id="260" xr16:uid="{943C22A1-85A6-46A1-B2B6-E5EA3B1C5329}" keepAlive="1" name="接続35" type="5" refreshedVersion="0" background="1">
    <dbPr connection="Provider=Microsoft.Mashup.OleDb.1;Data Source=$Workbook$;Location=PDFImport_260324_165756;Extended Properties=&quot;&quot;" commandType="0"/>
  </connection>
  <connection id="261" xr16:uid="{C4C70209-C99D-4251-B4C8-75754CEE12DC}" keepAlive="1" name="接続36" type="5" refreshedVersion="0" background="1">
    <dbPr connection="Provider=Microsoft.Mashup.OleDb.1;Data Source=$Workbook$;Location=PDFImport_260324_170217;Extended Properties=&quot;&quot;" commandType="0"/>
  </connection>
  <connection id="262" xr16:uid="{0CDEA701-FE57-4F2B-9B0B-EF4114308007}" keepAlive="1" name="接続37" type="5" refreshedVersion="0" background="1">
    <dbPr connection="Provider=Microsoft.Mashup.OleDb.1;Data Source=$Workbook$;Location=PDFImport_260324_170755;Extended Properties=&quot;&quot;" commandType="0"/>
  </connection>
  <connection id="263" xr16:uid="{C7D06D37-8F98-4A90-A13C-9DBCD7C2B077}" keepAlive="1" name="接続38" type="5" refreshedVersion="0" background="1">
    <dbPr connection="Provider=Microsoft.Mashup.OleDb.1;Data Source=$Workbook$;Location=PDFImport_260324_171237;Extended Properties=&quot;&quot;" commandType="0"/>
  </connection>
  <connection id="264" xr16:uid="{C8BCCF7B-382B-4A08-AF22-307839A8350F}" keepAlive="1" name="接続39" type="5" refreshedVersion="0" background="1">
    <dbPr connection="Provider=Microsoft.Mashup.OleDb.1;Data Source=$Workbook$;Location=PDFImport_260324_174816;Extended Properties=&quot;&quot;" commandType="0"/>
  </connection>
  <connection id="265" xr16:uid="{BAAF174D-721A-42A5-8269-73C25FC6726B}" keepAlive="1" name="接続4" type="5" refreshedVersion="0" background="1">
    <dbPr connection="Provider=Microsoft.Mashup.OleDb.1;Data Source=$Workbook$;Location=PDFImport_260319_235735;Extended Properties=&quot;&quot;" commandType="0"/>
  </connection>
  <connection id="266" xr16:uid="{EB711C0B-E978-4839-A76E-D7FC19469251}" keepAlive="1" name="接続40" type="5" refreshedVersion="0" background="1">
    <dbPr connection="Provider=Microsoft.Mashup.OleDb.1;Data Source=$Workbook$;Location=PDFImport_260324_175421;Extended Properties=&quot;&quot;" commandType="0"/>
  </connection>
  <connection id="267" xr16:uid="{34AA2872-D870-4041-85AB-3752B5593B29}" keepAlive="1" name="接続41" type="5" refreshedVersion="0" background="1">
    <dbPr connection="Provider=Microsoft.Mashup.OleDb.1;Data Source=$Workbook$;Location=PDFImport_260324_180902;Extended Properties=&quot;&quot;" commandType="0"/>
  </connection>
  <connection id="268" xr16:uid="{BC5F8DF4-487F-4B39-8FF5-BF13654D27C1}" keepAlive="1" name="接続42" type="5" refreshedVersion="0" background="1">
    <dbPr connection="Provider=Microsoft.Mashup.OleDb.1;Data Source=$Workbook$;Location=PDFImport_260324_181606;Extended Properties=&quot;&quot;" commandType="0"/>
  </connection>
  <connection id="269" xr16:uid="{37FD3CA2-C257-4B1F-82B6-C102EB785B32}" keepAlive="1" name="接続43" type="5" refreshedVersion="0" background="1">
    <dbPr connection="Provider=Microsoft.Mashup.OleDb.1;Data Source=$Workbook$;Location=PDFImport_260324_182043;Extended Properties=&quot;&quot;" commandType="0"/>
  </connection>
  <connection id="270" xr16:uid="{A17E5B39-89E1-49FF-87FB-E48F4F515535}" keepAlive="1" name="接続44" type="5" refreshedVersion="0" background="1">
    <dbPr connection="Provider=Microsoft.Mashup.OleDb.1;Data Source=$Workbook$;Location=PDFImport_260324_182121;Extended Properties=&quot;&quot;" commandType="0"/>
  </connection>
  <connection id="271" xr16:uid="{3490262F-EB9A-42F2-B82C-39649A94A123}" keepAlive="1" name="接続45" type="5" refreshedVersion="0" background="1">
    <dbPr connection="Provider=Microsoft.Mashup.OleDb.1;Data Source=$Workbook$;Location=PDFImport_260324_182315;Extended Properties=&quot;&quot;" commandType="0"/>
  </connection>
  <connection id="272" xr16:uid="{A184BE54-AA85-4DB5-9A9F-6FDA44DBD719}" keepAlive="1" name="接続46" type="5" refreshedVersion="0" background="1">
    <dbPr connection="Provider=Microsoft.Mashup.OleDb.1;Data Source=$Workbook$;Location=PDFImport_260324_182421;Extended Properties=&quot;&quot;" commandType="0"/>
  </connection>
  <connection id="273" xr16:uid="{5B32701C-275D-4504-89D9-CB2B6D7185CD}" keepAlive="1" name="接続47" type="5" refreshedVersion="0" background="1">
    <dbPr connection="Provider=Microsoft.Mashup.OleDb.1;Data Source=$Workbook$;Location=PDFImport_260324_182532;Extended Properties=&quot;&quot;" commandType="0"/>
  </connection>
  <connection id="274" xr16:uid="{325C80C9-200A-49C3-8CBA-280A06BB47A7}" keepAlive="1" name="接続48" type="5" refreshedVersion="0" background="1">
    <dbPr connection="Provider=Microsoft.Mashup.OleDb.1;Data Source=$Workbook$;Location=PDFImport_260324_182612;Extended Properties=&quot;&quot;" commandType="0"/>
  </connection>
  <connection id="275" xr16:uid="{3D5747F3-E9CB-4110-8B25-6CB7DFA5606D}" keepAlive="1" name="接続49" type="5" refreshedVersion="0" background="1">
    <dbPr connection="Provider=Microsoft.Mashup.OleDb.1;Data Source=$Workbook$;Location=PDFImport_260324_182742;Extended Properties=&quot;&quot;" commandType="0"/>
  </connection>
  <connection id="276" xr16:uid="{61CEBDDB-0898-4371-8E4A-B5DF55E25F65}" keepAlive="1" name="接続5" type="5" refreshedVersion="0" background="1">
    <dbPr connection="Provider=Microsoft.Mashup.OleDb.1;Data Source=$Workbook$;Location=PDFImport_260320_000033;Extended Properties=&quot;&quot;" commandType="0"/>
  </connection>
  <connection id="277" xr16:uid="{A2DF3F7F-679F-428A-9316-6B98E9966819}" keepAlive="1" name="接続50" type="5" refreshedVersion="0" background="1">
    <dbPr connection="Provider=Microsoft.Mashup.OleDb.1;Data Source=$Workbook$;Location=PDFImport_260324_183250;Extended Properties=&quot;&quot;" commandType="0"/>
  </connection>
  <connection id="278" xr16:uid="{6F62A325-1DFA-47F3-9070-017DAC263DC9}" keepAlive="1" name="接続51" type="5" refreshedVersion="0" background="1">
    <dbPr connection="Provider=Microsoft.Mashup.OleDb.1;Data Source=$Workbook$;Location=PDFImport_260324_184304;Extended Properties=&quot;&quot;" commandType="0"/>
  </connection>
  <connection id="279" xr16:uid="{7686A486-388E-40EC-A144-07038F2EA20A}" keepAlive="1" name="接続52" type="5" refreshedVersion="0" background="1">
    <dbPr connection="Provider=Microsoft.Mashup.OleDb.1;Data Source=$Workbook$;Location=PDFImport_260324_185144;Extended Properties=&quot;&quot;" commandType="0"/>
  </connection>
  <connection id="280" xr16:uid="{EC394405-9184-4BFC-B796-10CCF206BAD6}" keepAlive="1" name="接続53" type="5" refreshedVersion="0" background="1">
    <dbPr connection="Provider=Microsoft.Mashup.OleDb.1;Data Source=$Workbook$;Location=PDFImport_260324_185322;Extended Properties=&quot;&quot;" commandType="0"/>
  </connection>
  <connection id="281" xr16:uid="{6EC1C9E4-26AD-424B-B808-FF116FF24887}" keepAlive="1" name="接続54" type="5" refreshedVersion="0" background="1">
    <dbPr connection="Provider=Microsoft.Mashup.OleDb.1;Data Source=$Workbook$;Location=PDFImport_260324_185416;Extended Properties=&quot;&quot;" commandType="0"/>
  </connection>
  <connection id="282" xr16:uid="{5BDD3054-10EB-4DB9-999F-5779FF9BA657}" keepAlive="1" name="接続55" type="5" refreshedVersion="0" background="1">
    <dbPr connection="Provider=Microsoft.Mashup.OleDb.1;Data Source=$Workbook$;Location=PDFImport_260324_185659;Extended Properties=&quot;&quot;" commandType="0"/>
  </connection>
  <connection id="283" xr16:uid="{746739D1-ABE7-4610-979D-65DEACEAB676}" keepAlive="1" name="接続56" type="5" refreshedVersion="0" background="1">
    <dbPr connection="Provider=Microsoft.Mashup.OleDb.1;Data Source=$Workbook$;Location=PDFImport_260324_190032;Extended Properties=&quot;&quot;" commandType="0"/>
  </connection>
  <connection id="284" xr16:uid="{155040D2-5343-47EE-BE74-8CD69E06E4F7}" keepAlive="1" name="接続57" type="5" refreshedVersion="0" background="1">
    <dbPr connection="Provider=Microsoft.Mashup.OleDb.1;Data Source=$Workbook$;Location=PDFImport_260324_191416;Extended Properties=&quot;&quot;" commandType="0"/>
  </connection>
  <connection id="285" xr16:uid="{8CEFDE10-CA08-4A0E-BDC7-A7623FF334EF}" keepAlive="1" name="接続58" type="5" refreshedVersion="0" background="1">
    <dbPr connection="Provider=Microsoft.Mashup.OleDb.1;Data Source=$Workbook$;Location=PDFImport_260324_191623;Extended Properties=&quot;&quot;" commandType="0"/>
  </connection>
  <connection id="286" xr16:uid="{4244FADA-6AB2-4EAD-B9FE-1FD2D23D0A04}" keepAlive="1" name="接続59" type="5" refreshedVersion="0" background="1">
    <dbPr connection="Provider=Microsoft.Mashup.OleDb.1;Data Source=$Workbook$;Location=PDFImport_260324_192420;Extended Properties=&quot;&quot;" commandType="0"/>
  </connection>
  <connection id="287" xr16:uid="{991AFCFC-F61D-4484-91A9-AC497EBC6D54}" keepAlive="1" name="接続6" type="5" refreshedVersion="0" background="1">
    <dbPr connection="Provider=Microsoft.Mashup.OleDb.1;Data Source=$Workbook$;Location=PDFImport_260320_000137;Extended Properties=&quot;&quot;" commandType="0"/>
  </connection>
  <connection id="288" xr16:uid="{76B7FCB6-D02A-4572-9071-E21690823E6E}" keepAlive="1" name="接続60" type="5" refreshedVersion="0" background="1">
    <dbPr connection="Provider=Microsoft.Mashup.OleDb.1;Data Source=$Workbook$;Location=PDFImport_260324_192723;Extended Properties=&quot;&quot;" commandType="0"/>
  </connection>
  <connection id="289" xr16:uid="{ED0716AA-1ACD-43C4-BE7C-43B921AEE82E}" keepAlive="1" name="接続61" type="5" refreshedVersion="0" background="1">
    <dbPr connection="Provider=Microsoft.Mashup.OleDb.1;Data Source=$Workbook$;Location=PDFImport_260324_193602;Extended Properties=&quot;&quot;" commandType="0"/>
  </connection>
  <connection id="290" xr16:uid="{13A4E5F9-4455-42DE-9E02-F4645ACCA9F9}" keepAlive="1" name="接続62" type="5" refreshedVersion="0" background="1">
    <dbPr connection="Provider=Microsoft.Mashup.OleDb.1;Data Source=$Workbook$;Location=PDFImport_260324_193706;Extended Properties=&quot;&quot;" commandType="0"/>
  </connection>
  <connection id="291" xr16:uid="{F0B8E2B4-046F-4FBF-8A39-E7E8AC94B2F2}" keepAlive="1" name="接続63" type="5" refreshedVersion="0" background="1">
    <dbPr connection="Provider=Microsoft.Mashup.OleDb.1;Data Source=$Workbook$;Location=PDFImport_260324_194334;Extended Properties=&quot;&quot;" commandType="0"/>
  </connection>
  <connection id="292" xr16:uid="{5566801A-A6A9-4F1C-9ADA-05E3FB4F8E60}" keepAlive="1" name="接続64" type="5" refreshedVersion="0" background="1">
    <dbPr connection="Provider=Microsoft.Mashup.OleDb.1;Data Source=$Workbook$;Location=PDFImport_260324_225457;Extended Properties=&quot;&quot;" commandType="0"/>
  </connection>
  <connection id="293" xr16:uid="{470C5FFE-BA6A-4781-8FFB-9E3758C11C97}" keepAlive="1" name="接続65" type="5" refreshedVersion="0" background="1">
    <dbPr connection="Provider=Microsoft.Mashup.OleDb.1;Data Source=$Workbook$;Location=PDFImport_260324_225629;Extended Properties=&quot;&quot;" commandType="0"/>
  </connection>
  <connection id="294" xr16:uid="{41BC1230-AF4A-4B0D-A092-4FF17EC27B9E}" keepAlive="1" name="接続66" type="5" refreshedVersion="0" background="1">
    <dbPr connection="Provider=Microsoft.Mashup.OleDb.1;Data Source=$Workbook$;Location=PDFImport_260324_225735;Extended Properties=&quot;&quot;" commandType="0"/>
  </connection>
  <connection id="295" xr16:uid="{0D97D8AB-481A-4314-A91F-E2246E1B6FA9}" keepAlive="1" name="接続67" type="5" refreshedVersion="0" background="1">
    <dbPr connection="Provider=Microsoft.Mashup.OleDb.1;Data Source=$Workbook$;Location=PDFImport_260324_230019;Extended Properties=&quot;&quot;" commandType="0"/>
  </connection>
  <connection id="296" xr16:uid="{E6449022-B0BE-4296-9DFF-53110AD76106}" keepAlive="1" name="接続68" type="5" refreshedVersion="0" background="1">
    <dbPr connection="Provider=Microsoft.Mashup.OleDb.1;Data Source=$Workbook$;Location=PDFImport_260324_230359;Extended Properties=&quot;&quot;" commandType="0"/>
  </connection>
  <connection id="297" xr16:uid="{9A0DD098-620B-400E-B5F9-537AADDFD80C}" keepAlive="1" name="接続69" type="5" refreshedVersion="0" background="1">
    <dbPr connection="Provider=Microsoft.Mashup.OleDb.1;Data Source=$Workbook$;Location=PDFImport_260324_230455;Extended Properties=&quot;&quot;" commandType="0"/>
  </connection>
  <connection id="298" xr16:uid="{812D0BA0-CBA5-4756-A6F9-D6AA648109C3}" keepAlive="1" name="接続7" type="5" refreshedVersion="0" background="1">
    <dbPr connection="Provider=Microsoft.Mashup.OleDb.1;Data Source=$Workbook$;Location=PDFImport_260320_000157;Extended Properties=&quot;&quot;" commandType="0"/>
  </connection>
  <connection id="299" xr16:uid="{A9F43131-C128-4C4E-9A9E-D33FBC613B82}" keepAlive="1" name="接続70" type="5" refreshedVersion="0" background="1">
    <dbPr connection="Provider=Microsoft.Mashup.OleDb.1;Data Source=$Workbook$;Location=PDFImport_260324_230801;Extended Properties=&quot;&quot;" commandType="0"/>
  </connection>
  <connection id="300" xr16:uid="{48233341-0C87-4685-AD2B-A9DAB26CF64F}" keepAlive="1" name="接続71" type="5" refreshedVersion="0" background="1">
    <dbPr connection="Provider=Microsoft.Mashup.OleDb.1;Data Source=$Workbook$;Location=PDFImport_260324_230948;Extended Properties=&quot;&quot;" commandType="0"/>
  </connection>
  <connection id="301" xr16:uid="{352B5449-7B06-412A-972E-3459E64858BC}" keepAlive="1" name="接続72" type="5" refreshedVersion="0" background="1">
    <dbPr connection="Provider=Microsoft.Mashup.OleDb.1;Data Source=$Workbook$;Location=PDFImport_260324_231318;Extended Properties=&quot;&quot;" commandType="0"/>
  </connection>
  <connection id="302" xr16:uid="{17E65103-930B-401B-8D00-621F78BFBC25}" keepAlive="1" name="接続73" type="5" refreshedVersion="0" background="1">
    <dbPr connection="Provider=Microsoft.Mashup.OleDb.1;Data Source=$Workbook$;Location=PDFImport_260324_232655;Extended Properties=&quot;&quot;" commandType="0"/>
  </connection>
  <connection id="303" xr16:uid="{E7FC4BCB-28DC-4227-8160-623FE05DF1E7}" keepAlive="1" name="接続74" type="5" refreshedVersion="0" background="1">
    <dbPr connection="Provider=Microsoft.Mashup.OleDb.1;Data Source=$Workbook$;Location=PDFImport_260324_232745;Extended Properties=&quot;&quot;" commandType="0"/>
  </connection>
  <connection id="304" xr16:uid="{36F82EAF-B3B3-488C-99BA-939D23A5C9E4}" keepAlive="1" name="接続75" type="5" refreshedVersion="0" background="1">
    <dbPr connection="Provider=Microsoft.Mashup.OleDb.1;Data Source=$Workbook$;Location=PDFImport_260324_234814;Extended Properties=&quot;&quot;" commandType="0"/>
  </connection>
  <connection id="305" xr16:uid="{4ADD5AE6-DAEA-4F1D-A5C9-90A51330D2C6}" keepAlive="1" name="接続76" type="5" refreshedVersion="0" background="1">
    <dbPr connection="Provider=Microsoft.Mashup.OleDb.1;Data Source=$Workbook$;Location=PDFImport_260324_234938;Extended Properties=&quot;&quot;" commandType="0"/>
  </connection>
  <connection id="306" xr16:uid="{1DDAF8AC-9F96-45FF-8BFF-0A05618B2FE9}" keepAlive="1" name="接続77" type="5" refreshedVersion="0" background="1">
    <dbPr connection="Provider=Microsoft.Mashup.OleDb.1;Data Source=$Workbook$;Location=PDFImport_260324_235021;Extended Properties=&quot;&quot;" commandType="0"/>
  </connection>
  <connection id="307" xr16:uid="{C9DA0CEF-2038-41FA-B663-C91D69F16681}" keepAlive="1" name="接続78" type="5" refreshedVersion="0" background="1">
    <dbPr connection="Provider=Microsoft.Mashup.OleDb.1;Data Source=$Workbook$;Location=PDFImport_260324_235812;Extended Properties=&quot;&quot;" commandType="0"/>
  </connection>
  <connection id="308" xr16:uid="{F7714A80-A3B2-40ED-9244-B924A9C28C86}" keepAlive="1" name="接続79" type="5" refreshedVersion="0" background="1">
    <dbPr connection="Provider=Microsoft.Mashup.OleDb.1;Data Source=$Workbook$;Location=PDFImport_260324_235845;Extended Properties=&quot;&quot;" commandType="0"/>
  </connection>
  <connection id="309" xr16:uid="{4C7D64A4-2480-445D-8907-7C8AF20814C1}" keepAlive="1" name="接続8" type="5" refreshedVersion="0" background="1">
    <dbPr connection="Provider=Microsoft.Mashup.OleDb.1;Data Source=$Workbook$;Location=PDFImport_260320_133452;Extended Properties=&quot;&quot;" commandType="0"/>
  </connection>
  <connection id="310" xr16:uid="{C8103C62-8417-4E5F-87E3-E7A077F0E2C3}" keepAlive="1" name="接続80" type="5" refreshedVersion="0" background="1">
    <dbPr connection="Provider=Microsoft.Mashup.OleDb.1;Data Source=$Workbook$;Location=PDFImport_260325_000012;Extended Properties=&quot;&quot;" commandType="0"/>
  </connection>
  <connection id="311" xr16:uid="{072E9C2B-1929-463C-BE88-D637662BACC1}" keepAlive="1" name="接続81" type="5" refreshedVersion="0" background="1">
    <dbPr connection="Provider=Microsoft.Mashup.OleDb.1;Data Source=$Workbook$;Location=PDFImport_260325_000657;Extended Properties=&quot;&quot;" commandType="0"/>
  </connection>
  <connection id="312" xr16:uid="{3F59A2ED-B60D-4B0E-AF26-D3012B4E6482}" keepAlive="1" name="接続82" type="5" refreshedVersion="0" background="1">
    <dbPr connection="Provider=Microsoft.Mashup.OleDb.1;Data Source=$Workbook$;Location=PDFImport_260325_000722;Extended Properties=&quot;&quot;" commandType="0"/>
  </connection>
  <connection id="313" xr16:uid="{503296AB-98D2-4285-8D91-2FF53E1E5C5E}" keepAlive="1" name="接続83" type="5" refreshedVersion="0" background="1">
    <dbPr connection="Provider=Microsoft.Mashup.OleDb.1;Data Source=$Workbook$;Location=PDFImport_260325_000814;Extended Properties=&quot;&quot;" commandType="0"/>
  </connection>
  <connection id="314" xr16:uid="{D49B0FE1-69A6-4B32-8A59-E7E4D62A9EB0}" keepAlive="1" name="接続84" type="5" refreshedVersion="0" background="1">
    <dbPr connection="Provider=Microsoft.Mashup.OleDb.1;Data Source=$Workbook$;Location=PDFImport_260325_000838;Extended Properties=&quot;&quot;" commandType="0"/>
  </connection>
  <connection id="315" xr16:uid="{AC5A7B6B-81F1-4025-B3E1-25B2B79575D7}" keepAlive="1" name="接続85" type="5" refreshedVersion="0" background="1">
    <dbPr connection="Provider=Microsoft.Mashup.OleDb.1;Data Source=$Workbook$;Location=PDFImport_260325_000917;Extended Properties=&quot;&quot;" commandType="0"/>
  </connection>
  <connection id="316" xr16:uid="{2C5EBBC6-8B4F-4AEB-9259-3C8F57204E6B}" keepAlive="1" name="接続86" type="5" refreshedVersion="0" background="1">
    <dbPr connection="Provider=Microsoft.Mashup.OleDb.1;Data Source=$Workbook$;Location=PDFImport_260325_000935;Extended Properties=&quot;&quot;" commandType="0"/>
  </connection>
  <connection id="317" xr16:uid="{659046A0-55B8-4B27-90AB-353C3C8BE37D}" keepAlive="1" name="接続87" type="5" refreshedVersion="0" background="1">
    <dbPr connection="Provider=Microsoft.Mashup.OleDb.1;Data Source=$Workbook$;Location=PDFImport_260325_001226;Extended Properties=&quot;&quot;" commandType="0"/>
  </connection>
  <connection id="318" xr16:uid="{AFAD3A85-2112-4D13-B73F-F4F6DD6223BA}" keepAlive="1" name="接続88" type="5" refreshedVersion="0" background="1">
    <dbPr connection="Provider=Microsoft.Mashup.OleDb.1;Data Source=$Workbook$;Location=PDFImport_260325_001326;Extended Properties=&quot;&quot;" commandType="0"/>
  </connection>
  <connection id="319" xr16:uid="{9100E629-0556-41A6-B3AA-59D15B867C2B}" keepAlive="1" name="接続89" type="5" refreshedVersion="0" background="1">
    <dbPr connection="Provider=Microsoft.Mashup.OleDb.1;Data Source=$Workbook$;Location=PDFImport_260325_001543;Extended Properties=&quot;&quot;" commandType="0"/>
  </connection>
  <connection id="320" xr16:uid="{C03C68C9-A518-407D-9EF9-5A453F81BFBB}" keepAlive="1" name="接続9" type="5" refreshedVersion="0" background="1">
    <dbPr connection="Provider=Microsoft.Mashup.OleDb.1;Data Source=$Workbook$;Location=PDFImport_260320_142340;Extended Properties=&quot;&quot;" commandType="0"/>
  </connection>
  <connection id="321" xr16:uid="{12E34CA8-BDB1-4454-B558-DAE690CE64D7}" keepAlive="1" name="接続90" type="5" refreshedVersion="0" background="1">
    <dbPr connection="Provider=Microsoft.Mashup.OleDb.1;Data Source=$Workbook$;Location=PDFImport_260325_002051;Extended Properties=&quot;&quot;" commandType="0"/>
  </connection>
  <connection id="322" xr16:uid="{5DE60D06-BAD9-4DFA-A87E-350DB47CCA6C}" keepAlive="1" name="接続91" type="5" refreshedVersion="0" background="1">
    <dbPr connection="Provider=Microsoft.Mashup.OleDb.1;Data Source=$Workbook$;Location=PDFImport_260325_002139;Extended Properties=&quot;&quot;" commandType="0"/>
  </connection>
  <connection id="323" xr16:uid="{80B31D95-EE55-4960-90BD-ED3E2351E766}" keepAlive="1" name="接続92" type="5" refreshedVersion="0" background="1">
    <dbPr connection="Provider=Microsoft.Mashup.OleDb.1;Data Source=$Workbook$;Location=PDFImport_260325_002222;Extended Properties=&quot;&quot;" commandType="0"/>
  </connection>
  <connection id="324" xr16:uid="{81EE9FCE-19BD-4D49-8E0D-7C07CAFB5E2B}" keepAlive="1" name="接続93" type="5" refreshedVersion="0" background="1">
    <dbPr connection="Provider=Microsoft.Mashup.OleDb.1;Data Source=$Workbook$;Location=PDFImport_260325_002342;Extended Properties=&quot;&quot;" commandType="0"/>
  </connection>
  <connection id="325" xr16:uid="{7907A0FA-2E0E-431D-A1E9-3FBDB15A2635}" keepAlive="1" name="接続94" type="5" refreshedVersion="0" background="1">
    <dbPr connection="Provider=Microsoft.Mashup.OleDb.1;Data Source=$Workbook$;Location=PDFImport_260325_002416;Extended Properties=&quot;&quot;" commandType="0"/>
  </connection>
  <connection id="326" xr16:uid="{FBDAE64D-6725-4BD1-8B86-4EE02DC7ED1E}" keepAlive="1" name="接続95" type="5" refreshedVersion="0" background="1">
    <dbPr connection="Provider=Microsoft.Mashup.OleDb.1;Data Source=$Workbook$;Location=PDFImport_260325_002433;Extended Properties=&quot;&quot;" commandType="0"/>
  </connection>
  <connection id="327" xr16:uid="{EA009483-A664-49E4-AD19-92A16659F9EA}" keepAlive="1" name="接続96" type="5" refreshedVersion="0" background="1">
    <dbPr connection="Provider=Microsoft.Mashup.OleDb.1;Data Source=$Workbook$;Location=PDFImport_260325_002450;Extended Properties=&quot;&quot;" commandType="0"/>
  </connection>
  <connection id="328" xr16:uid="{41B0B2A7-B0A4-4C3E-96E5-106E7F262BB7}" keepAlive="1" name="接続97" type="5" refreshedVersion="0" background="1">
    <dbPr connection="Provider=Microsoft.Mashup.OleDb.1;Data Source=$Workbook$;Location=PDFImport_260325_003224;Extended Properties=&quot;&quot;" commandType="0"/>
  </connection>
  <connection id="329" xr16:uid="{4BF8C596-663E-4820-A814-285C417DAB3E}" keepAlive="1" name="接続98" type="5" refreshedVersion="0" background="1">
    <dbPr connection="Provider=Microsoft.Mashup.OleDb.1;Data Source=$Workbook$;Location=PDFImport_260325_003852;Extended Properties=&quot;&quot;" commandType="0"/>
  </connection>
  <connection id="330" xr16:uid="{D1E9933A-730C-480B-8923-2C0661BB39B0}" keepAlive="1" name="接続99" type="5" refreshedVersion="0" background="1">
    <dbPr connection="Provider=Microsoft.Mashup.OleDb.1;Data Source=$Workbook$;Location=PDFImport_260325_004651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<sst xmlns="http://schemas.openxmlformats.org/spreadsheetml/2006/main" count="360" uniqueCount="256">
  <si>
    <t>邸損</t>
    <rPh sb="0" eb="1">
      <t>テイ</t>
    </rPh>
    <rPh sb="1" eb="2">
      <t>ソン</t>
    </rPh>
    <phoneticPr fontId="1"/>
  </si>
  <si>
    <t>記入セル</t>
    <rPh sb="0" eb="2">
      <t>キニュウ</t>
    </rPh>
    <phoneticPr fontId="1"/>
  </si>
  <si>
    <t>ブック名</t>
    <rPh sb="3" eb="4">
      <t>メイ</t>
    </rPh>
    <phoneticPr fontId="1"/>
  </si>
  <si>
    <t>【営業邸損】 (本社版).xlsm</t>
    <rPh sb="1" eb="3">
      <t>エイギョウ</t>
    </rPh>
    <rPh sb="3" eb="4">
      <t>テイ</t>
    </rPh>
    <rPh sb="4" eb="5">
      <t>ソン</t>
    </rPh>
    <rPh sb="8" eb="10">
      <t>ホンシャ</t>
    </rPh>
    <rPh sb="10" eb="11">
      <t>バン</t>
    </rPh>
    <phoneticPr fontId="1"/>
  </si>
  <si>
    <t>営業邸損</t>
    <rPh sb="0" eb="2">
      <t>エイギョウ</t>
    </rPh>
    <rPh sb="2" eb="3">
      <t>テイ</t>
    </rPh>
    <rPh sb="3" eb="4">
      <t>ゾン</t>
    </rPh>
    <phoneticPr fontId="1"/>
  </si>
  <si>
    <t>シート名2</t>
    <rPh sb="3" eb="4">
      <t>メイ</t>
    </rPh>
    <phoneticPr fontId="1"/>
  </si>
  <si>
    <t>邸名</t>
    <rPh sb="0" eb="1">
      <t>テイ</t>
    </rPh>
    <rPh sb="1" eb="2">
      <t>メイ</t>
    </rPh>
    <phoneticPr fontId="1"/>
  </si>
  <si>
    <t>KW数</t>
    <rPh sb="2" eb="3">
      <t>スウ</t>
    </rPh>
    <phoneticPr fontId="1"/>
  </si>
  <si>
    <t>HEMS</t>
  </si>
  <si>
    <t>WF</t>
  </si>
  <si>
    <t>設備機器</t>
    <rPh sb="0" eb="4">
      <t>セツビキキ</t>
    </rPh>
    <phoneticPr fontId="1"/>
  </si>
  <si>
    <t>その他申請料</t>
    <rPh sb="2" eb="3">
      <t>タ</t>
    </rPh>
    <rPh sb="3" eb="5">
      <t>シンセイ</t>
    </rPh>
    <rPh sb="5" eb="6">
      <t>リョウ</t>
    </rPh>
    <phoneticPr fontId="1"/>
  </si>
  <si>
    <t>カーポート・物置</t>
    <rPh sb="6" eb="8">
      <t>モノオキ</t>
    </rPh>
    <phoneticPr fontId="1"/>
  </si>
  <si>
    <t>D6</t>
    <phoneticPr fontId="1"/>
  </si>
  <si>
    <t>ﾀｲﾌﾟ1</t>
    <phoneticPr fontId="1"/>
  </si>
  <si>
    <t>U数</t>
    <rPh sb="1" eb="2">
      <t>カズ</t>
    </rPh>
    <phoneticPr fontId="2"/>
  </si>
  <si>
    <t>延面積</t>
    <rPh sb="0" eb="1">
      <t>ノ</t>
    </rPh>
    <rPh sb="1" eb="3">
      <t>メンセキ</t>
    </rPh>
    <phoneticPr fontId="2"/>
  </si>
  <si>
    <t>太陽光</t>
    <rPh sb="0" eb="2">
      <t>タイヨウ</t>
    </rPh>
    <rPh sb="2" eb="3">
      <t>ヒカリ</t>
    </rPh>
    <phoneticPr fontId="2"/>
  </si>
  <si>
    <t>建築形態</t>
    <rPh sb="0" eb="2">
      <t>ケンチク</t>
    </rPh>
    <rPh sb="2" eb="4">
      <t>ケイタイ</t>
    </rPh>
    <phoneticPr fontId="2"/>
  </si>
  <si>
    <t>蓄電池</t>
    <rPh sb="0" eb="1">
      <t>チク</t>
    </rPh>
    <rPh sb="1" eb="3">
      <t>デンチ</t>
    </rPh>
    <phoneticPr fontId="2"/>
  </si>
  <si>
    <t>快適</t>
    <rPh sb="0" eb="2">
      <t>カイテキ</t>
    </rPh>
    <phoneticPr fontId="2"/>
  </si>
  <si>
    <t>契約年月</t>
    <rPh sb="0" eb="2">
      <t>ケイヤク</t>
    </rPh>
    <rPh sb="2" eb="3">
      <t>ネン</t>
    </rPh>
    <rPh sb="3" eb="4">
      <t>ヅキ</t>
    </rPh>
    <phoneticPr fontId="2"/>
  </si>
  <si>
    <t>D7</t>
    <phoneticPr fontId="1"/>
  </si>
  <si>
    <t>据付年月</t>
    <rPh sb="0" eb="2">
      <t>スエツケ</t>
    </rPh>
    <rPh sb="2" eb="3">
      <t>ネン</t>
    </rPh>
    <rPh sb="3" eb="4">
      <t>ヅキ</t>
    </rPh>
    <phoneticPr fontId="2"/>
  </si>
  <si>
    <t>D9</t>
    <phoneticPr fontId="1"/>
  </si>
  <si>
    <t>売上年月</t>
    <rPh sb="0" eb="2">
      <t>ウリアゲ</t>
    </rPh>
    <rPh sb="2" eb="3">
      <t>ネン</t>
    </rPh>
    <rPh sb="3" eb="4">
      <t>ツキ</t>
    </rPh>
    <phoneticPr fontId="2"/>
  </si>
  <si>
    <t>D10</t>
    <phoneticPr fontId="1"/>
  </si>
  <si>
    <t>本体材料費A(上代) ※1</t>
    <rPh sb="0" eb="2">
      <t>ホンタイ</t>
    </rPh>
    <rPh sb="2" eb="5">
      <t>ザイリョウヒ</t>
    </rPh>
    <rPh sb="7" eb="9">
      <t>ジョウダイ</t>
    </rPh>
    <phoneticPr fontId="4"/>
  </si>
  <si>
    <t>本体材料費B(減額) ※2</t>
    <rPh sb="0" eb="2">
      <t>ホンタイ</t>
    </rPh>
    <rPh sb="2" eb="5">
      <t>ザイリョウヒ</t>
    </rPh>
    <rPh sb="7" eb="9">
      <t>ゲンガク</t>
    </rPh>
    <phoneticPr fontId="4"/>
  </si>
  <si>
    <t>構造体･屋根･庇</t>
    <rPh sb="0" eb="3">
      <t>コウゾウタイ</t>
    </rPh>
    <rPh sb="4" eb="6">
      <t>ヤネ</t>
    </rPh>
    <rPh sb="7" eb="8">
      <t>ヒサシ</t>
    </rPh>
    <phoneticPr fontId="4"/>
  </si>
  <si>
    <t>&lt;東&gt;SPS対策費_棟</t>
    <phoneticPr fontId="1"/>
  </si>
  <si>
    <t>外壁･開口･外構</t>
    <rPh sb="0" eb="2">
      <t>ガイヘキ</t>
    </rPh>
    <rPh sb="3" eb="5">
      <t>カイコウ</t>
    </rPh>
    <rPh sb="6" eb="7">
      <t>ガイ</t>
    </rPh>
    <rPh sb="7" eb="8">
      <t>コウ</t>
    </rPh>
    <phoneticPr fontId="4"/>
  </si>
  <si>
    <t>内装･階段</t>
    <rPh sb="0" eb="2">
      <t>ナイソウ</t>
    </rPh>
    <rPh sb="3" eb="5">
      <t>カイダン</t>
    </rPh>
    <phoneticPr fontId="4"/>
  </si>
  <si>
    <t>準耐火仕様･防火区画</t>
    <rPh sb="0" eb="1">
      <t>ジュン</t>
    </rPh>
    <rPh sb="1" eb="3">
      <t>タイカ</t>
    </rPh>
    <rPh sb="3" eb="5">
      <t>シヨウ</t>
    </rPh>
    <rPh sb="6" eb="8">
      <t>ボウカ</t>
    </rPh>
    <rPh sb="8" eb="10">
      <t>クカク</t>
    </rPh>
    <phoneticPr fontId="4"/>
  </si>
  <si>
    <t>設備</t>
    <rPh sb="0" eb="2">
      <t>セツビ</t>
    </rPh>
    <phoneticPr fontId="4"/>
  </si>
  <si>
    <t>基礎</t>
    <rPh sb="0" eb="2">
      <t>キソ</t>
    </rPh>
    <phoneticPr fontId="4"/>
  </si>
  <si>
    <t>据付大工工事費その他</t>
    <rPh sb="0" eb="2">
      <t>スエツケ</t>
    </rPh>
    <rPh sb="2" eb="4">
      <t>ダイク</t>
    </rPh>
    <rPh sb="4" eb="7">
      <t>コウジヒ</t>
    </rPh>
    <rPh sb="9" eb="10">
      <t>タ</t>
    </rPh>
    <phoneticPr fontId="4"/>
  </si>
  <si>
    <t>その他工事</t>
    <rPh sb="2" eb="3">
      <t>タ</t>
    </rPh>
    <rPh sb="3" eb="5">
      <t>コウジ</t>
    </rPh>
    <phoneticPr fontId="4"/>
  </si>
  <si>
    <t>その他経費･申請料</t>
    <rPh sb="2" eb="3">
      <t>タ</t>
    </rPh>
    <rPh sb="3" eb="5">
      <t>ケイヒ</t>
    </rPh>
    <rPh sb="6" eb="8">
      <t>シンセイ</t>
    </rPh>
    <rPh sb="8" eb="9">
      <t>リョウ</t>
    </rPh>
    <phoneticPr fontId="4"/>
  </si>
  <si>
    <t>特別値引き</t>
    <rPh sb="0" eb="2">
      <t>トクベツ</t>
    </rPh>
    <rPh sb="2" eb="4">
      <t>ネビ</t>
    </rPh>
    <phoneticPr fontId="4"/>
  </si>
  <si>
    <t>解体工事</t>
    <rPh sb="0" eb="2">
      <t>カイタイ</t>
    </rPh>
    <rPh sb="2" eb="4">
      <t>コウジ</t>
    </rPh>
    <phoneticPr fontId="2"/>
  </si>
  <si>
    <t>仮住い作り込み費用</t>
    <rPh sb="0" eb="1">
      <t>カリ</t>
    </rPh>
    <rPh sb="1" eb="2">
      <t>スマ</t>
    </rPh>
    <rPh sb="3" eb="4">
      <t>ツク</t>
    </rPh>
    <rPh sb="5" eb="6">
      <t>コ</t>
    </rPh>
    <rPh sb="7" eb="9">
      <t>ヒヨウ</t>
    </rPh>
    <phoneticPr fontId="2"/>
  </si>
  <si>
    <t>地盤改良</t>
    <rPh sb="0" eb="2">
      <t>ジバン</t>
    </rPh>
    <rPh sb="2" eb="4">
      <t>カイリョウ</t>
    </rPh>
    <phoneticPr fontId="2"/>
  </si>
  <si>
    <t>特殊基礎工事(嵩下げ等)</t>
    <rPh sb="0" eb="2">
      <t>トクシュ</t>
    </rPh>
    <rPh sb="2" eb="4">
      <t>キソ</t>
    </rPh>
    <rPh sb="4" eb="6">
      <t>コウジ</t>
    </rPh>
    <rPh sb="7" eb="8">
      <t>カサ</t>
    </rPh>
    <rPh sb="8" eb="9">
      <t>サ</t>
    </rPh>
    <rPh sb="10" eb="11">
      <t>トウ</t>
    </rPh>
    <phoneticPr fontId="2"/>
  </si>
  <si>
    <t>特殊据付工事</t>
    <rPh sb="0" eb="2">
      <t>トクシュ</t>
    </rPh>
    <rPh sb="2" eb="4">
      <t>スエツケ</t>
    </rPh>
    <rPh sb="4" eb="6">
      <t>コウジ</t>
    </rPh>
    <phoneticPr fontId="2"/>
  </si>
  <si>
    <t>鉄板養生費</t>
    <rPh sb="0" eb="2">
      <t>テッパン</t>
    </rPh>
    <rPh sb="2" eb="4">
      <t>ヨウジョウ</t>
    </rPh>
    <rPh sb="4" eb="5">
      <t>ヒ</t>
    </rPh>
    <phoneticPr fontId="2"/>
  </si>
  <si>
    <t>特装車</t>
    <rPh sb="0" eb="1">
      <t>トク</t>
    </rPh>
    <rPh sb="1" eb="2">
      <t>ソウ</t>
    </rPh>
    <rPh sb="2" eb="3">
      <t>シャ</t>
    </rPh>
    <phoneticPr fontId="4"/>
  </si>
  <si>
    <t>現地キッチン・浴室</t>
    <rPh sb="0" eb="2">
      <t>ゲンチ</t>
    </rPh>
    <rPh sb="7" eb="9">
      <t>ヨクシツ</t>
    </rPh>
    <phoneticPr fontId="2"/>
  </si>
  <si>
    <t>屋外給排水工事</t>
    <rPh sb="0" eb="2">
      <t>オクガイ</t>
    </rPh>
    <rPh sb="2" eb="5">
      <t>キュウハイスイ</t>
    </rPh>
    <rPh sb="5" eb="7">
      <t>コウジ</t>
    </rPh>
    <phoneticPr fontId="2"/>
  </si>
  <si>
    <t>屋外電気工事</t>
    <rPh sb="0" eb="2">
      <t>オクガイ</t>
    </rPh>
    <rPh sb="2" eb="4">
      <t>デンキ</t>
    </rPh>
    <rPh sb="4" eb="6">
      <t>コウジ</t>
    </rPh>
    <phoneticPr fontId="2"/>
  </si>
  <si>
    <t>浄化槽工事</t>
    <rPh sb="0" eb="3">
      <t>ジョウカソウ</t>
    </rPh>
    <rPh sb="3" eb="5">
      <t>コウジ</t>
    </rPh>
    <phoneticPr fontId="2"/>
  </si>
  <si>
    <t>水道本管取り出し工事</t>
    <rPh sb="0" eb="2">
      <t>スイドウ</t>
    </rPh>
    <rPh sb="2" eb="4">
      <t>ホンカン</t>
    </rPh>
    <rPh sb="4" eb="5">
      <t>ト</t>
    </rPh>
    <rPh sb="6" eb="7">
      <t>ダ</t>
    </rPh>
    <rPh sb="8" eb="10">
      <t>コウジ</t>
    </rPh>
    <phoneticPr fontId="2"/>
  </si>
  <si>
    <t>用地整備工事</t>
    <rPh sb="0" eb="2">
      <t>ヨウチ</t>
    </rPh>
    <rPh sb="2" eb="4">
      <t>セイビ</t>
    </rPh>
    <rPh sb="4" eb="6">
      <t>コウジ</t>
    </rPh>
    <phoneticPr fontId="2"/>
  </si>
  <si>
    <t>外部特殊工事</t>
    <rPh sb="0" eb="2">
      <t>ガイブ</t>
    </rPh>
    <rPh sb="2" eb="4">
      <t>トクシュ</t>
    </rPh>
    <rPh sb="4" eb="6">
      <t>コウジ</t>
    </rPh>
    <phoneticPr fontId="2"/>
  </si>
  <si>
    <t>設計見積①</t>
    <rPh sb="0" eb="2">
      <t>セッケイ</t>
    </rPh>
    <rPh sb="2" eb="4">
      <t>ミツ</t>
    </rPh>
    <phoneticPr fontId="2"/>
  </si>
  <si>
    <t>設計見積②</t>
    <rPh sb="0" eb="2">
      <t>セッケイ</t>
    </rPh>
    <rPh sb="2" eb="4">
      <t>ミツ</t>
    </rPh>
    <phoneticPr fontId="2"/>
  </si>
  <si>
    <t>設計見積③</t>
    <rPh sb="0" eb="2">
      <t>セッケイ</t>
    </rPh>
    <rPh sb="2" eb="4">
      <t>ミツモリ</t>
    </rPh>
    <phoneticPr fontId="2"/>
  </si>
  <si>
    <t>企業協力業者紹介料</t>
    <rPh sb="0" eb="2">
      <t>キギョウ</t>
    </rPh>
    <rPh sb="2" eb="6">
      <t>キョウリョクギョウシャ</t>
    </rPh>
    <rPh sb="6" eb="9">
      <t>ショウカイリョウ</t>
    </rPh>
    <phoneticPr fontId="4"/>
  </si>
  <si>
    <t>照明</t>
    <rPh sb="0" eb="2">
      <t>ショウメイ</t>
    </rPh>
    <phoneticPr fontId="4"/>
  </si>
  <si>
    <t>カーテン</t>
    <phoneticPr fontId="1"/>
  </si>
  <si>
    <t>空調</t>
    <rPh sb="0" eb="2">
      <t>クウチョウ</t>
    </rPh>
    <phoneticPr fontId="4"/>
  </si>
  <si>
    <t>家具・家電</t>
    <rPh sb="0" eb="2">
      <t>カグ</t>
    </rPh>
    <rPh sb="3" eb="5">
      <t>カデン</t>
    </rPh>
    <phoneticPr fontId="4"/>
  </si>
  <si>
    <t>インテリア・その他</t>
    <rPh sb="8" eb="9">
      <t>タ</t>
    </rPh>
    <phoneticPr fontId="4"/>
  </si>
  <si>
    <t>外構</t>
    <rPh sb="0" eb="2">
      <t>ガイコウ</t>
    </rPh>
    <phoneticPr fontId="4"/>
  </si>
  <si>
    <t>H63</t>
    <phoneticPr fontId="1"/>
  </si>
  <si>
    <t>A1</t>
    <phoneticPr fontId="1"/>
  </si>
  <si>
    <t>行数</t>
    <rPh sb="0" eb="2">
      <t>ギョウスウ</t>
    </rPh>
    <phoneticPr fontId="1"/>
  </si>
  <si>
    <t>列数</t>
    <rPh sb="0" eb="2">
      <t>レツスウ</t>
    </rPh>
    <phoneticPr fontId="1"/>
  </si>
  <si>
    <t>編集するシート名</t>
    <rPh sb="0" eb="2">
      <t>ヘンシュウ</t>
    </rPh>
    <rPh sb="7" eb="8">
      <t>メイ</t>
    </rPh>
    <phoneticPr fontId="1"/>
  </si>
  <si>
    <t>営業邸損</t>
    <phoneticPr fontId="1"/>
  </si>
  <si>
    <t>施主氏名</t>
  </si>
  <si>
    <t>建設予定地</t>
  </si>
  <si>
    <t>建設予定日</t>
  </si>
  <si>
    <t>構造体･屋根･庇</t>
  </si>
  <si>
    <t>外壁･開口･外構</t>
  </si>
  <si>
    <t>基礎</t>
  </si>
  <si>
    <t>その他工事</t>
  </si>
  <si>
    <t>その他経費･申請料</t>
  </si>
  <si>
    <t>外壁</t>
  </si>
  <si>
    <t>天井高</t>
  </si>
  <si>
    <t>一階床面積</t>
  </si>
  <si>
    <t>二階床面積</t>
  </si>
  <si>
    <t>延床面積</t>
  </si>
  <si>
    <t>建築面積</t>
  </si>
  <si>
    <t>太陽光W数</t>
  </si>
  <si>
    <t>本体価格</t>
  </si>
  <si>
    <t>坪単価</t>
  </si>
  <si>
    <t>快適設備価格</t>
  </si>
  <si>
    <t>ｽﾏｰﾄ設備価格</t>
  </si>
  <si>
    <t>ｵﾌﾟｼｮﾝ無価格</t>
  </si>
  <si>
    <t>ｵﾌﾟｼｮﾝ無単価</t>
  </si>
  <si>
    <t>*36u×1/4*</t>
  </si>
  <si>
    <t>*外壁*900*</t>
  </si>
  <si>
    <t>*外壁*450*</t>
  </si>
  <si>
    <t>*外壁*出隅*</t>
  </si>
  <si>
    <t>*ﾊﾞﾙｺﾆｰ手摺*900*</t>
  </si>
  <si>
    <t>*ﾊﾞﾙｺﾆｰ手摺*450*</t>
  </si>
  <si>
    <t>*ﾊﾞﾙｺﾆｰ手摺*出隅*</t>
  </si>
  <si>
    <t>*蓄電池*</t>
  </si>
  <si>
    <t>*ｽﾏｰﾄﾊｲﾑﾅﾋﾞ*</t>
  </si>
  <si>
    <t>*快適ｴｱﾘｰ*</t>
  </si>
  <si>
    <t>*ｳｫｰﾑﾌｧｸﾄﾘｰ*</t>
  </si>
  <si>
    <t>クリア</t>
  </si>
  <si>
    <t>差額</t>
    <rPh sb="0" eb="2">
      <t>サガク</t>
    </rPh>
    <phoneticPr fontId="1"/>
  </si>
  <si>
    <t>ﾊﾞﾙ材料費</t>
    <rPh sb="3" eb="6">
      <t>ザイリョウヒ</t>
    </rPh>
    <phoneticPr fontId="4"/>
  </si>
  <si>
    <t>ﾊﾞﾙ工事費</t>
    <rPh sb="3" eb="6">
      <t>コウジヒ</t>
    </rPh>
    <phoneticPr fontId="4"/>
  </si>
  <si>
    <t>構造体調整/材料費</t>
    <phoneticPr fontId="4"/>
  </si>
  <si>
    <t>価格</t>
    <rPh sb="0" eb="2">
      <t>カカク</t>
    </rPh>
    <phoneticPr fontId="4"/>
  </si>
  <si>
    <t>材料単価</t>
    <rPh sb="0" eb="4">
      <t>ザイリョウタンカ</t>
    </rPh>
    <phoneticPr fontId="4"/>
  </si>
  <si>
    <t>工事単価</t>
    <rPh sb="0" eb="2">
      <t>コウジ</t>
    </rPh>
    <rPh sb="2" eb="4">
      <t>タンカ</t>
    </rPh>
    <phoneticPr fontId="4"/>
  </si>
  <si>
    <t>900単位</t>
  </si>
  <si>
    <t>ﾀｲﾙ外壁</t>
  </si>
  <si>
    <t>450単位</t>
  </si>
  <si>
    <t>出隅UP分</t>
  </si>
  <si>
    <t>(BB･PW･PR)UP分450単位</t>
  </si>
  <si>
    <t>ｼﾝｾ厚ﾀｲﾙ外壁ﾚｼﾞﾃﾞﾝｽN-S</t>
  </si>
  <si>
    <t>ｼﾝｾ厚ﾀｲﾙ外壁ﾚｼﾞﾃﾞﾝｽG-S</t>
  </si>
  <si>
    <t>(TW･VB･MB)UP分450単位</t>
  </si>
  <si>
    <t>ｼﾝｾ厚ﾀｲﾙ外壁ﾚｼﾞﾃﾞﾝｽG/N-S</t>
  </si>
  <si>
    <t>ﾀｲﾙ外壁特別減額900単位</t>
  </si>
  <si>
    <t>ﾀｲﾙ外壁特別減額450単位</t>
  </si>
  <si>
    <t>ｼﾝｾﾗｲﾄt20外壁(ｼｪﾙｸﾘｱ以外)</t>
  </si>
  <si>
    <t>ｼﾝｾﾗｲﾄt20外壁(ｼｪﾙｸﾘｱ)</t>
    <phoneticPr fontId="4"/>
  </si>
  <si>
    <t>ｼﾝｾﾗｲﾄt20外壁(ｼｪﾙｸﾘｱ)</t>
  </si>
  <si>
    <t>ｼﾝｾﾗｲﾄt20外壁ﾏｲｶ色UP分</t>
  </si>
  <si>
    <t>ｼﾝｾﾗｲﾄ外壁(ｼｪﾙｸﾘｱ以外)</t>
  </si>
  <si>
    <t>ｼﾝｾﾗｲﾄ外壁(ｼｪﾙｸﾘｱ)</t>
  </si>
  <si>
    <t>ｼﾝｾﾗｲﾄ外壁Gﾀｲﾌﾟ(ｼｪﾙｸﾘｱ以外)</t>
  </si>
  <si>
    <t>ｼﾝｾﾗｲﾄ外壁Gﾀｲﾌﾟ(ｼｪﾙｸﾘｱ)</t>
    <phoneticPr fontId="4"/>
  </si>
  <si>
    <t>ｼﾝｾﾗｲﾄ外壁Gﾀｲﾌﾟ(ｼｪﾙｸﾘｱ)</t>
  </si>
  <si>
    <t>ﾊｲﾑﾀｲﾙ外壁穴開け補修費(～3ヶ所)式</t>
  </si>
  <si>
    <t>ﾊｲﾑﾀｲﾙ外壁穴開け補修費(4～5ヶ所)式</t>
  </si>
  <si>
    <t>ﾊﾞﾙｺﾆｰ部分外壁</t>
    <rPh sb="6" eb="8">
      <t>ブブン</t>
    </rPh>
    <rPh sb="8" eb="10">
      <t>ガイヘキ</t>
    </rPh>
    <phoneticPr fontId="4"/>
  </si>
  <si>
    <t xml:space="preserve">屋上ﾊﾞﾙｺﾆｰ手摺 全壁(ﾀｲﾙ) </t>
  </si>
  <si>
    <t xml:space="preserve">900単位 </t>
  </si>
  <si>
    <t xml:space="preserve">450単位 </t>
  </si>
  <si>
    <t xml:space="preserve">出隅減額 </t>
  </si>
  <si>
    <t xml:space="preserve">屋上ﾊﾞﾙｺﾆｰ手摺 全壁[ｼﾝｾ(G含)] </t>
  </si>
  <si>
    <t xml:space="preserve">ﾃﾗｽﾊﾞﾙｺﾆｰ手摺 全壁(ﾀｲﾙ) </t>
  </si>
  <si>
    <t xml:space="preserve">出隅UP分 </t>
  </si>
  <si>
    <t xml:space="preserve">ﾃﾗｽﾊﾞﾙｺﾆｰ手摺 全壁(厚ﾀｲﾙ･ｼﾝｾ厚ﾀｲﾙ･ﾋﾞｵﾚｼﾞｽﾄｰﾝ) </t>
  </si>
  <si>
    <t xml:space="preserve">ﾃﾗｽﾊﾞﾙｺﾆｰ手摺 全壁[ｼﾝｾ(G含)] </t>
  </si>
  <si>
    <t xml:space="preserve">ﾃﾗｽﾊﾞﾙｺﾆｰ手摺 全壁[ｼﾝｾﾗｲﾄt20] </t>
  </si>
  <si>
    <t xml:space="preserve">ﾃﾗｽﾊﾞﾙｺﾆｰ手摺 ﾏｲｶ色UP分 </t>
    <rPh sb="15" eb="16">
      <t>ショク</t>
    </rPh>
    <phoneticPr fontId="4"/>
  </si>
  <si>
    <t>構造体調整(積雪地)【1810以降】 36u×1/4</t>
    <phoneticPr fontId="1"/>
  </si>
  <si>
    <t>ﾀｲﾙ</t>
    <phoneticPr fontId="4"/>
  </si>
  <si>
    <t>SFC・ｼﾞｵﾏｲﾄ</t>
    <phoneticPr fontId="4"/>
  </si>
  <si>
    <t>太陽光_有無</t>
  </si>
  <si>
    <t>無</t>
  </si>
  <si>
    <t>蓄電池_有無</t>
  </si>
  <si>
    <t>HEMS_有無</t>
  </si>
  <si>
    <t>快適_有無</t>
  </si>
  <si>
    <t>WF_有無</t>
  </si>
  <si>
    <t>鉄板養生費</t>
  </si>
  <si>
    <t>差額合計</t>
    <rPh sb="0" eb="2">
      <t>サガク</t>
    </rPh>
    <rPh sb="2" eb="4">
      <t>ゴウケイ</t>
    </rPh>
    <phoneticPr fontId="1"/>
  </si>
  <si>
    <t>メニュー</t>
  </si>
  <si>
    <t>差額を計算するシートへのジャンプ。</t>
    <rPh sb="0" eb="2">
      <t>サガク</t>
    </rPh>
    <rPh sb="3" eb="5">
      <t>ケイサン</t>
    </rPh>
    <phoneticPr fontId="1"/>
  </si>
  <si>
    <t>外壁差額は、C1を「クリア」に合わせる</t>
    <rPh sb="0" eb="2">
      <t>ガイヘキ</t>
    </rPh>
    <rPh sb="2" eb="4">
      <t>サガク</t>
    </rPh>
    <rPh sb="15" eb="16">
      <t>ア</t>
    </rPh>
    <phoneticPr fontId="1"/>
  </si>
  <si>
    <t>B1の積算シートの外壁数を拾っています。</t>
    <rPh sb="3" eb="5">
      <t>セキサン</t>
    </rPh>
    <rPh sb="9" eb="11">
      <t>ガイヘキ</t>
    </rPh>
    <rPh sb="11" eb="12">
      <t>スウ</t>
    </rPh>
    <rPh sb="13" eb="14">
      <t>ヒロ</t>
    </rPh>
    <phoneticPr fontId="1"/>
  </si>
  <si>
    <t>商品名</t>
  </si>
  <si>
    <t>積雪タイプ</t>
  </si>
  <si>
    <t>マルチセレクト</t>
  </si>
  <si>
    <t>作成日</t>
  </si>
  <si>
    <t>積算Ver</t>
  </si>
  <si>
    <t>*基準*ﾕﾆｯﾄ*数*</t>
  </si>
  <si>
    <t>*1階*ﾕﾆｯﾄ*数*</t>
  </si>
  <si>
    <t>図面番号</t>
  </si>
  <si>
    <t>三階床面積</t>
  </si>
  <si>
    <t>数字が正確に読み込めた場合ステータスバー（ウィンドウ左下）にメッセージを表示します。</t>
    <rPh sb="0" eb="2">
      <t>スウジ</t>
    </rPh>
    <rPh sb="3" eb="5">
      <t>セイカク</t>
    </rPh>
    <rPh sb="6" eb="7">
      <t>ヨ</t>
    </rPh>
    <rPh sb="8" eb="9">
      <t>コ</t>
    </rPh>
    <rPh sb="11" eb="13">
      <t>バアイ</t>
    </rPh>
    <rPh sb="26" eb="28">
      <t>ヒダリシタ</t>
    </rPh>
    <rPh sb="36" eb="38">
      <t>ヒョウジ</t>
    </rPh>
    <phoneticPr fontId="1"/>
  </si>
  <si>
    <t>【営業邸損】本社版(ver*.**).xlsm　のエクセルファイルを指定してください。</t>
    <phoneticPr fontId="1"/>
  </si>
  <si>
    <t>PDFから直接データ取得しています。Excel365、Excel2021以降が必要です。</t>
    <rPh sb="5" eb="7">
      <t>チョクセツ</t>
    </rPh>
    <rPh sb="10" eb="12">
      <t>シュトク</t>
    </rPh>
    <rPh sb="36" eb="38">
      <t>イコウ</t>
    </rPh>
    <rPh sb="39" eb="41">
      <t>ヒツヨウ</t>
    </rPh>
    <phoneticPr fontId="1"/>
  </si>
  <si>
    <t>比較・外壁差額</t>
  </si>
  <si>
    <t>積算toExcel</t>
    <rPh sb="0" eb="2">
      <t>セキサン</t>
    </rPh>
    <phoneticPr fontId="1"/>
  </si>
  <si>
    <t>Ver1.00</t>
    <phoneticPr fontId="1"/>
  </si>
  <si>
    <t>PDFからのデータ取得機能利用（Excel365、Excel2021以降必要）</t>
    <rPh sb="9" eb="11">
      <t>シュトク</t>
    </rPh>
    <rPh sb="11" eb="13">
      <t>キノウ</t>
    </rPh>
    <rPh sb="13" eb="15">
      <t>リヨウ</t>
    </rPh>
    <rPh sb="34" eb="36">
      <t>イコウ</t>
    </rPh>
    <rPh sb="36" eb="38">
      <t>ヒツヨウ</t>
    </rPh>
    <phoneticPr fontId="1"/>
  </si>
  <si>
    <t>ユーザーフォームでメニュー常時表示、表示位置記憶</t>
    <rPh sb="13" eb="15">
      <t>ジョウジ</t>
    </rPh>
    <rPh sb="15" eb="17">
      <t>ヒョウジ</t>
    </rPh>
    <rPh sb="18" eb="22">
      <t>ヒョウジイチ</t>
    </rPh>
    <rPh sb="22" eb="24">
      <t>キオク</t>
    </rPh>
    <phoneticPr fontId="1"/>
  </si>
  <si>
    <t>転記したい積算のシートを左から3番目のシート位置に移動してください。通常はそのまま。</t>
    <rPh sb="0" eb="2">
      <t>テンキ</t>
    </rPh>
    <rPh sb="5" eb="7">
      <t>セキサン</t>
    </rPh>
    <rPh sb="12" eb="13">
      <t>ヒダリ</t>
    </rPh>
    <rPh sb="16" eb="18">
      <t>バンメ</t>
    </rPh>
    <rPh sb="22" eb="24">
      <t>イチ</t>
    </rPh>
    <rPh sb="25" eb="27">
      <t>イドウ</t>
    </rPh>
    <rPh sb="34" eb="36">
      <t>ツウジョウ</t>
    </rPh>
    <phoneticPr fontId="1"/>
  </si>
  <si>
    <t>メニュー表示は「Ctrl + Shift + J」</t>
    <rPh sb="4" eb="6">
      <t>ヒョウジ</t>
    </rPh>
    <phoneticPr fontId="1"/>
  </si>
  <si>
    <t>シート名自動取得</t>
    <rPh sb="3" eb="4">
      <t>メイ</t>
    </rPh>
    <rPh sb="4" eb="6">
      <t>ジドウ</t>
    </rPh>
    <rPh sb="6" eb="8">
      <t>シュトク</t>
    </rPh>
    <phoneticPr fontId="1"/>
  </si>
  <si>
    <t>邸損の転記するセル番地の管理をこのシートのB99番地以降に移動</t>
    <rPh sb="0" eb="1">
      <t>テイ</t>
    </rPh>
    <rPh sb="1" eb="2">
      <t>ソン</t>
    </rPh>
    <rPh sb="3" eb="5">
      <t>テンキ</t>
    </rPh>
    <rPh sb="9" eb="11">
      <t>バンチ</t>
    </rPh>
    <rPh sb="12" eb="14">
      <t>カンリ</t>
    </rPh>
    <rPh sb="24" eb="26">
      <t>バンチ</t>
    </rPh>
    <rPh sb="26" eb="28">
      <t>イコウ</t>
    </rPh>
    <rPh sb="29" eb="31">
      <t>イドウ</t>
    </rPh>
    <phoneticPr fontId="1"/>
  </si>
  <si>
    <t>隠しシート（クリア）のC列103行以下が邸損ファイルの記載するセル番地です。</t>
    <rPh sb="0" eb="1">
      <t>カク</t>
    </rPh>
    <rPh sb="12" eb="13">
      <t>レツ</t>
    </rPh>
    <rPh sb="16" eb="17">
      <t>ギョウ</t>
    </rPh>
    <rPh sb="17" eb="19">
      <t>イカ</t>
    </rPh>
    <rPh sb="20" eb="21">
      <t>テイ</t>
    </rPh>
    <rPh sb="21" eb="22">
      <t>ソン</t>
    </rPh>
    <rPh sb="27" eb="29">
      <t>キサイ</t>
    </rPh>
    <rPh sb="33" eb="35">
      <t>バンチ</t>
    </rPh>
    <phoneticPr fontId="1"/>
  </si>
  <si>
    <t>営業邸損のVerUpなどで転記位置がズレた場合は編集してください。</t>
    <rPh sb="24" eb="26">
      <t>ヘンシュウ</t>
    </rPh>
    <phoneticPr fontId="1"/>
  </si>
  <si>
    <t>ﾀｲﾙ外壁</t>
    <rPh sb="3" eb="5">
      <t>ガイヘキ</t>
    </rPh>
    <phoneticPr fontId="4"/>
  </si>
  <si>
    <t>ｼﾝｾ厚ﾀｲﾙ外壁ﾚｼﾞﾃﾞﾝｽ</t>
    <rPh sb="3" eb="4">
      <t>アツ</t>
    </rPh>
    <rPh sb="7" eb="9">
      <t>ガイヘキ</t>
    </rPh>
    <phoneticPr fontId="4"/>
  </si>
  <si>
    <t>ｼﾝｾ厚ﾀｲﾙ外壁ﾚｼﾞﾃﾞﾝｽ-ﾌﾟﾚﾐｱｶﾗｰ</t>
    <rPh sb="3" eb="4">
      <t>アツ</t>
    </rPh>
    <rPh sb="7" eb="9">
      <t>ガイヘキ</t>
    </rPh>
    <phoneticPr fontId="4"/>
  </si>
  <si>
    <t>ｼﾝｾﾗｲﾄt20外壁(ｼｪﾙｸﾘｱ以外)</t>
    <rPh sb="9" eb="11">
      <t>ガイヘキ</t>
    </rPh>
    <rPh sb="18" eb="20">
      <t>イガイ</t>
    </rPh>
    <phoneticPr fontId="4"/>
  </si>
  <si>
    <t>ｼﾝｾﾗｲﾄt20外壁ﾏｲｶ色</t>
    <rPh sb="9" eb="11">
      <t>ガイヘキ</t>
    </rPh>
    <rPh sb="14" eb="15">
      <t>イロ</t>
    </rPh>
    <phoneticPr fontId="4"/>
  </si>
  <si>
    <t>ｼﾝｾﾗｲﾄ外壁Gﾀｲﾌﾟ(ｼｪﾙｸﾘｱ以外)</t>
    <rPh sb="6" eb="8">
      <t>ガイヘキ</t>
    </rPh>
    <rPh sb="19" eb="21">
      <t>イガイ</t>
    </rPh>
    <rPh sb="21" eb="22">
      <t>）</t>
    </rPh>
    <phoneticPr fontId="4"/>
  </si>
  <si>
    <t>ｼﾝｾﾗｲﾄ外壁(ｼｪﾙｸﾘｱ以外)</t>
    <rPh sb="6" eb="8">
      <t>ガイヘキ</t>
    </rPh>
    <rPh sb="15" eb="17">
      <t>イガイ</t>
    </rPh>
    <phoneticPr fontId="4"/>
  </si>
  <si>
    <t>ｼﾝｾﾗｲﾄ外壁(ｼｪﾙｸﾘｱ)</t>
    <phoneticPr fontId="4"/>
  </si>
  <si>
    <t xml:space="preserve">ﾃﾗｽﾊﾞﾙｺﾆｰ手摺 ﾏｲｶ色UP分 </t>
  </si>
  <si>
    <t>(BB･PW･PR)UP分900単位</t>
  </si>
  <si>
    <t>(TW･VB･MB)UP分900単位</t>
  </si>
  <si>
    <t>構造体調整(積雪地)【1810以降】 36u×1/4</t>
  </si>
  <si>
    <t>ﾀｲﾙ</t>
  </si>
  <si>
    <t>SFC・ｼﾞｵﾏｲﾄ</t>
  </si>
  <si>
    <t>外壁</t>
    <rPh sb="0" eb="2">
      <t>ガイヘキ</t>
    </rPh>
    <phoneticPr fontId="4"/>
  </si>
  <si>
    <t>外壁差額</t>
    <rPh sb="0" eb="2">
      <t>ガイヘキ</t>
    </rPh>
    <rPh sb="2" eb="4">
      <t>サガク</t>
    </rPh>
    <phoneticPr fontId="1"/>
  </si>
  <si>
    <t>調整費含む合計</t>
    <rPh sb="0" eb="2">
      <t>チョウセイ</t>
    </rPh>
    <rPh sb="2" eb="3">
      <t>ヒ</t>
    </rPh>
    <rPh sb="3" eb="4">
      <t>フク</t>
    </rPh>
    <rPh sb="5" eb="7">
      <t>ゴウケイ</t>
    </rPh>
    <phoneticPr fontId="4"/>
  </si>
  <si>
    <t>クリア</t>
    <phoneticPr fontId="1"/>
  </si>
  <si>
    <t>材料費</t>
    <rPh sb="0" eb="3">
      <t>ザイリョウヒ</t>
    </rPh>
    <phoneticPr fontId="1"/>
  </si>
  <si>
    <t>工事費</t>
    <rPh sb="0" eb="3">
      <t>コウジヒ</t>
    </rPh>
    <phoneticPr fontId="1"/>
  </si>
  <si>
    <t>外壁</t>
    <rPh sb="0" eb="2">
      <t>ガイヘキ</t>
    </rPh>
    <phoneticPr fontId="1"/>
  </si>
  <si>
    <t>ﾊﾞﾙｺﾆｰ外壁</t>
    <rPh sb="6" eb="8">
      <t>ガイヘキ</t>
    </rPh>
    <phoneticPr fontId="1"/>
  </si>
  <si>
    <t>専用の見積書ファイルが必要です。デフォルトでは「見積書for積算toExcel.xlsx」です。</t>
    <rPh sb="0" eb="2">
      <t>センヨウ</t>
    </rPh>
    <rPh sb="3" eb="6">
      <t>ミツモリショ</t>
    </rPh>
    <rPh sb="11" eb="13">
      <t>ヒツヨウ</t>
    </rPh>
    <phoneticPr fontId="1"/>
  </si>
  <si>
    <t>左から3番めのシートの内容で作成します。邸損と同様です。</t>
    <rPh sb="0" eb="1">
      <t>ヒダリ</t>
    </rPh>
    <rPh sb="4" eb="5">
      <t>バン</t>
    </rPh>
    <rPh sb="11" eb="13">
      <t>ナイヨウ</t>
    </rPh>
    <rPh sb="14" eb="16">
      <t>サクセイ</t>
    </rPh>
    <rPh sb="20" eb="21">
      <t>テイ</t>
    </rPh>
    <rPh sb="21" eb="22">
      <t>ソン</t>
    </rPh>
    <rPh sb="23" eb="25">
      <t>ドウヨウ</t>
    </rPh>
    <phoneticPr fontId="1"/>
  </si>
  <si>
    <t>H7</t>
    <phoneticPr fontId="1"/>
  </si>
  <si>
    <t>H9</t>
    <phoneticPr fontId="1"/>
  </si>
  <si>
    <t>H10</t>
    <phoneticPr fontId="1"/>
  </si>
  <si>
    <t>H12</t>
    <phoneticPr fontId="1"/>
  </si>
  <si>
    <t>H11</t>
    <phoneticPr fontId="1"/>
  </si>
  <si>
    <t>H13</t>
    <phoneticPr fontId="1"/>
  </si>
  <si>
    <t>H14</t>
    <phoneticPr fontId="1"/>
  </si>
  <si>
    <t>H15</t>
    <phoneticPr fontId="1"/>
  </si>
  <si>
    <t>H16</t>
    <phoneticPr fontId="1"/>
  </si>
  <si>
    <t>H20</t>
    <phoneticPr fontId="1"/>
  </si>
  <si>
    <t>H21</t>
    <phoneticPr fontId="1"/>
  </si>
  <si>
    <t>H23</t>
    <phoneticPr fontId="1"/>
  </si>
  <si>
    <t>H24</t>
    <phoneticPr fontId="1"/>
  </si>
  <si>
    <t>H25</t>
    <phoneticPr fontId="1"/>
  </si>
  <si>
    <t>H26</t>
    <phoneticPr fontId="1"/>
  </si>
  <si>
    <t>H27</t>
    <phoneticPr fontId="1"/>
  </si>
  <si>
    <t>H28</t>
    <phoneticPr fontId="1"/>
  </si>
  <si>
    <t>H29</t>
    <phoneticPr fontId="1"/>
  </si>
  <si>
    <t>H30</t>
    <phoneticPr fontId="1"/>
  </si>
  <si>
    <t>H31</t>
    <phoneticPr fontId="1"/>
  </si>
  <si>
    <t>H32</t>
    <phoneticPr fontId="1"/>
  </si>
  <si>
    <t>H33</t>
    <phoneticPr fontId="1"/>
  </si>
  <si>
    <t>H35</t>
    <phoneticPr fontId="1"/>
  </si>
  <si>
    <t>H36</t>
    <phoneticPr fontId="1"/>
  </si>
  <si>
    <t>H37</t>
    <phoneticPr fontId="1"/>
  </si>
  <si>
    <t>H38</t>
    <phoneticPr fontId="1"/>
  </si>
  <si>
    <t>H39</t>
    <phoneticPr fontId="1"/>
  </si>
  <si>
    <t>H40</t>
    <phoneticPr fontId="1"/>
  </si>
  <si>
    <t>H41</t>
    <phoneticPr fontId="1"/>
  </si>
  <si>
    <t>H42</t>
    <phoneticPr fontId="1"/>
  </si>
  <si>
    <t>H43</t>
    <phoneticPr fontId="1"/>
  </si>
  <si>
    <t>H44</t>
    <phoneticPr fontId="1"/>
  </si>
  <si>
    <t>H45</t>
    <phoneticPr fontId="1"/>
  </si>
  <si>
    <t>H46</t>
    <phoneticPr fontId="1"/>
  </si>
  <si>
    <t>H47</t>
    <phoneticPr fontId="1"/>
  </si>
  <si>
    <t>H48</t>
    <phoneticPr fontId="1"/>
  </si>
  <si>
    <t>H49</t>
    <phoneticPr fontId="1"/>
  </si>
  <si>
    <t>H50</t>
    <phoneticPr fontId="1"/>
  </si>
  <si>
    <t>H51</t>
    <phoneticPr fontId="1"/>
  </si>
  <si>
    <t>H52</t>
    <phoneticPr fontId="1"/>
  </si>
  <si>
    <t>H53</t>
    <phoneticPr fontId="1"/>
  </si>
  <si>
    <t>H54</t>
    <phoneticPr fontId="1"/>
  </si>
  <si>
    <t>H56</t>
    <phoneticPr fontId="1"/>
  </si>
  <si>
    <t>H57</t>
    <phoneticPr fontId="1"/>
  </si>
  <si>
    <t>H58</t>
    <phoneticPr fontId="1"/>
  </si>
  <si>
    <t>H59</t>
    <phoneticPr fontId="1"/>
  </si>
  <si>
    <t>H60</t>
    <phoneticPr fontId="1"/>
  </si>
  <si>
    <t>H62</t>
    <phoneticPr fontId="1"/>
  </si>
  <si>
    <t>外壁の積算単価が変わったら！→シート「比較・外壁差額」のE2:AE11を編集しましょう</t>
    <rPh sb="0" eb="2">
      <t>ガイヘキ</t>
    </rPh>
    <rPh sb="3" eb="5">
      <t>セキサン</t>
    </rPh>
    <rPh sb="5" eb="7">
      <t>タンカ</t>
    </rPh>
    <rPh sb="8" eb="9">
      <t>カ</t>
    </rPh>
    <rPh sb="19" eb="21">
      <t>ヒカク</t>
    </rPh>
    <rPh sb="22" eb="24">
      <t>ガイヘキ</t>
    </rPh>
    <rPh sb="24" eb="26">
      <t>サガク</t>
    </rPh>
    <rPh sb="36" eb="38">
      <t>ヘンシュウ</t>
    </rPh>
    <phoneticPr fontId="1"/>
  </si>
  <si>
    <t>古い積算書など、上記の単価とずれがある場合外壁差額が正常に出力できません。手動で編集しましょう</t>
    <rPh sb="0" eb="1">
      <t>フル</t>
    </rPh>
    <rPh sb="2" eb="4">
      <t>セキサン</t>
    </rPh>
    <rPh sb="4" eb="5">
      <t>ショ</t>
    </rPh>
    <rPh sb="8" eb="10">
      <t>ジョウキ</t>
    </rPh>
    <rPh sb="11" eb="13">
      <t>タンカ</t>
    </rPh>
    <rPh sb="19" eb="21">
      <t>バアイ</t>
    </rPh>
    <rPh sb="21" eb="23">
      <t>ガイヘキ</t>
    </rPh>
    <rPh sb="23" eb="25">
      <t>サガク</t>
    </rPh>
    <rPh sb="26" eb="28">
      <t>セイジョウ</t>
    </rPh>
    <rPh sb="29" eb="31">
      <t>シュツリョク</t>
    </rPh>
    <rPh sb="37" eb="39">
      <t>シュドウ</t>
    </rPh>
    <rPh sb="40" eb="42">
      <t>ヘンシュウ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</si>
</sst>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 "/>
    <numFmt numFmtId="177" formatCode="#,##0_ ;[Red]\-#,##0\ "/>
    <numFmt numFmtId="178" formatCode="#,###"/>
    <numFmt numFmtId="179" formatCode="0.00;\-0.00;"/>
    <numFmt numFmtId="181" formatCode="0_ ;[Red]\-0\ "/>
    <numFmt numFmtId="182" formatCode="0.0_ ;[Red]\-0.0\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ＭＳ Ｐ明朝"/>
      <family val="1"/>
      <charset val="128"/>
    </font>
    <font>
      <sz val="6"/>
      <name val="ＭＳ Ｐゴシック"/>
      <family val="3"/>
      <charset val="128"/>
    </font>
    <font>
      <sz val="10"/>
      <color theme="1"/>
      <name val="ＭＳ Ｐ明朝"/>
      <family val="1"/>
      <charset val="128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3">
    <xf numFmtId="0" fontId="0" fillId="0" borderId="0" xfId="0">
      <alignment vertical="center"/>
    </xf>
    <xf numFmtId="0" fontId="0" fillId="0" borderId="1" xfId="0" applyBorder="1">
      <alignment vertical="center"/>
    </xf>
    <xf numFmtId="4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" fontId="0" fillId="0" borderId="1" xfId="0" applyNumberFormat="1" applyBorder="1" applyProtection="1">
      <alignment vertical="center"/>
      <protection locked="0"/>
    </xf>
    <xf numFmtId="4" fontId="0" fillId="0" borderId="1" xfId="0" applyNumberFormat="1" applyBorder="1" applyProtection="1">
      <alignment vertical="center"/>
      <protection locked="0"/>
    </xf>
    <xf numFmtId="0" fontId="3" fillId="0" borderId="1" xfId="0" applyFont="1" applyBorder="1" applyProtection="1">
      <alignment vertical="center"/>
      <protection locked="0"/>
    </xf>
    <xf numFmtId="0" fontId="3" fillId="0" borderId="1" xfId="1" applyFont="1" applyBorder="1" applyProtection="1">
      <alignment vertical="center"/>
      <protection locked="0"/>
    </xf>
    <xf numFmtId="0" fontId="5" fillId="0" borderId="1" xfId="0" applyFont="1" applyBorder="1">
      <alignment vertical="center"/>
    </xf>
    <xf numFmtId="0" fontId="0" fillId="0" borderId="0" xfId="0" applyAlignment="1">
      <alignment horizontal="right" vertical="center"/>
    </xf>
    <xf numFmtId="0" fontId="2" fillId="0" borderId="1" xfId="0" applyFont="1" applyBorder="1" applyAlignment="1" applyProtection="1">
      <alignment vertical="center" shrinkToFit="1"/>
      <protection locked="0"/>
    </xf>
    <xf numFmtId="0" fontId="2" fillId="0" borderId="1" xfId="0" applyFont="1" applyBorder="1" applyProtection="1">
      <alignment vertical="center"/>
      <protection hidden="1"/>
    </xf>
    <xf numFmtId="177" fontId="0" fillId="0" borderId="0" xfId="0" applyNumberFormat="1" applyAlignment="1">
      <alignment horizontal="right" vertical="center"/>
    </xf>
    <xf numFmtId="0" fontId="2" fillId="0" borderId="6" xfId="0" applyFont="1" applyBorder="1" applyAlignment="1" applyProtection="1">
      <alignment vertical="center" shrinkToFit="1"/>
      <protection locked="0"/>
    </xf>
    <xf numFmtId="0" fontId="2" fillId="0" borderId="0" xfId="0" applyFont="1" applyAlignment="1" applyProtection="1">
      <alignment vertical="center" shrinkToFit="1"/>
      <protection hidden="1"/>
    </xf>
    <xf numFmtId="0" fontId="2" fillId="0" borderId="0" xfId="0" applyFont="1" applyAlignment="1" applyProtection="1">
      <alignment horizontal="left" vertical="center" shrinkToFit="1"/>
      <protection hidden="1"/>
    </xf>
    <xf numFmtId="0" fontId="2" fillId="0" borderId="0" xfId="0" applyFont="1" applyProtection="1">
      <alignment vertical="center"/>
      <protection hidden="1"/>
    </xf>
    <xf numFmtId="0" fontId="2" fillId="0" borderId="0" xfId="0" applyFont="1">
      <alignment vertical="center"/>
    </xf>
    <xf numFmtId="0" fontId="0" fillId="0" borderId="10" xfId="0" applyBorder="1" applyProtection="1">
      <alignment vertical="center"/>
      <protection locked="0"/>
    </xf>
    <xf numFmtId="176" fontId="7" fillId="3" borderId="7" xfId="0" applyNumberFormat="1" applyFont="1" applyFill="1" applyBorder="1">
      <alignment vertical="center"/>
    </xf>
    <xf numFmtId="177" fontId="7" fillId="3" borderId="8" xfId="0" applyNumberFormat="1" applyFont="1" applyFill="1" applyBorder="1">
      <alignment vertical="center"/>
    </xf>
    <xf numFmtId="176" fontId="7" fillId="0" borderId="7" xfId="0" applyNumberFormat="1" applyFont="1" applyBorder="1">
      <alignment vertical="center"/>
    </xf>
    <xf numFmtId="177" fontId="7" fillId="0" borderId="8" xfId="0" applyNumberFormat="1" applyFont="1" applyBorder="1">
      <alignment vertical="center"/>
    </xf>
    <xf numFmtId="176" fontId="7" fillId="0" borderId="2" xfId="0" applyNumberFormat="1" applyFont="1" applyBorder="1">
      <alignment vertical="center"/>
    </xf>
    <xf numFmtId="177" fontId="7" fillId="0" borderId="4" xfId="0" applyNumberFormat="1" applyFont="1" applyBorder="1">
      <alignment vertical="center"/>
    </xf>
    <xf numFmtId="0" fontId="6" fillId="2" borderId="7" xfId="0" applyFont="1" applyFill="1" applyBorder="1">
      <alignment vertical="center"/>
    </xf>
    <xf numFmtId="177" fontId="6" fillId="2" borderId="8" xfId="0" applyNumberFormat="1" applyFont="1" applyFill="1" applyBorder="1" applyAlignment="1">
      <alignment horizontal="right" vertical="center"/>
    </xf>
    <xf numFmtId="0" fontId="8" fillId="4" borderId="9" xfId="0" applyFont="1" applyFill="1" applyBorder="1">
      <alignment vertical="center"/>
    </xf>
    <xf numFmtId="0" fontId="8" fillId="4" borderId="11" xfId="0" applyFont="1" applyFill="1" applyBorder="1">
      <alignment vertical="center"/>
    </xf>
    <xf numFmtId="177" fontId="0" fillId="0" borderId="0" xfId="0" applyNumberFormat="1">
      <alignment vertical="center"/>
    </xf>
    <xf numFmtId="0" fontId="0" fillId="0" borderId="5" xfId="0" applyBorder="1">
      <alignment vertical="center"/>
    </xf>
    <xf numFmtId="0" fontId="0" fillId="3" borderId="5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7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0" fillId="0" borderId="8" xfId="0" applyBorder="1">
      <alignment vertical="center"/>
    </xf>
    <xf numFmtId="0" fontId="0" fillId="3" borderId="8" xfId="0" applyFill="1" applyBorder="1">
      <alignment vertical="center"/>
    </xf>
    <xf numFmtId="3" fontId="0" fillId="3" borderId="7" xfId="0" applyNumberFormat="1" applyFill="1" applyBorder="1">
      <alignment vertical="center"/>
    </xf>
    <xf numFmtId="3" fontId="0" fillId="0" borderId="7" xfId="0" applyNumberFormat="1" applyBorder="1">
      <alignment vertical="center"/>
    </xf>
    <xf numFmtId="178" fontId="0" fillId="3" borderId="5" xfId="0" applyNumberFormat="1" applyFill="1" applyBorder="1">
      <alignment vertical="center"/>
    </xf>
    <xf numFmtId="178" fontId="0" fillId="0" borderId="5" xfId="0" applyNumberFormat="1" applyBorder="1">
      <alignment vertical="center"/>
    </xf>
    <xf numFmtId="179" fontId="0" fillId="0" borderId="5" xfId="0" applyNumberFormat="1" applyBorder="1">
      <alignment vertical="center"/>
    </xf>
    <xf numFmtId="179" fontId="0" fillId="3" borderId="5" xfId="0" applyNumberFormat="1" applyFill="1" applyBorder="1">
      <alignment vertical="center"/>
    </xf>
    <xf numFmtId="178" fontId="0" fillId="3" borderId="3" xfId="0" applyNumberFormat="1" applyFill="1" applyBorder="1">
      <alignment vertical="center"/>
    </xf>
    <xf numFmtId="177" fontId="2" fillId="0" borderId="1" xfId="0" applyNumberFormat="1" applyFont="1" applyBorder="1" applyProtection="1">
      <alignment vertical="center"/>
      <protection hidden="1"/>
    </xf>
    <xf numFmtId="38" fontId="0" fillId="3" borderId="5" xfId="0" applyNumberFormat="1" applyFill="1" applyBorder="1">
      <alignment vertical="center"/>
    </xf>
    <xf numFmtId="38" fontId="0" fillId="3" borderId="8" xfId="0" applyNumberFormat="1" applyFill="1" applyBorder="1" applyAlignment="1">
      <alignment horizontal="right" vertical="center"/>
    </xf>
    <xf numFmtId="38" fontId="2" fillId="0" borderId="1" xfId="0" applyNumberFormat="1" applyFont="1" applyBorder="1" applyAlignment="1" applyProtection="1">
      <alignment vertical="center" shrinkToFit="1"/>
      <protection hidden="1"/>
    </xf>
    <xf numFmtId="0" fontId="0" fillId="0" borderId="1" xfId="0" applyBorder="1" applyAlignment="1">
      <alignment vertical="center" shrinkToFit="1"/>
    </xf>
    <xf numFmtId="0" fontId="0" fillId="0" borderId="12" xfId="0" applyBorder="1" applyAlignment="1">
      <alignment horizontal="centerContinuous" vertical="center"/>
    </xf>
    <xf numFmtId="0" fontId="0" fillId="0" borderId="13" xfId="0" applyBorder="1" applyAlignment="1">
      <alignment horizontal="centerContinuous" vertical="center"/>
    </xf>
    <xf numFmtId="0" fontId="0" fillId="0" borderId="14" xfId="0" applyBorder="1" applyAlignment="1">
      <alignment horizontal="centerContinuous" vertical="center"/>
    </xf>
    <xf numFmtId="0" fontId="2" fillId="0" borderId="12" xfId="0" applyFont="1" applyBorder="1" applyAlignment="1" applyProtection="1">
      <alignment horizontal="centerContinuous" vertical="center" shrinkToFit="1"/>
      <protection hidden="1"/>
    </xf>
    <xf numFmtId="182" fontId="0" fillId="0" borderId="1" xfId="0" applyNumberFormat="1" applyBorder="1" applyAlignment="1">
      <alignment vertical="center" shrinkToFit="1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hidden="1"/>
    </xf>
    <xf numFmtId="181" fontId="0" fillId="0" borderId="1" xfId="0" applyNumberFormat="1" applyBorder="1" applyAlignment="1">
      <alignment vertical="center" shrinkToFit="1"/>
    </xf>
    <xf numFmtId="181" fontId="0" fillId="0" borderId="1" xfId="0" applyNumberFormat="1" applyBorder="1">
      <alignment vertical="center"/>
    </xf>
  </cellXfs>
  <cellStyles count="2">
    <cellStyle name="標準" xfId="0" builtinId="0"/>
    <cellStyle name="標準_営業邸損(営業用)20160214" xfId="1" xr:uid="{B1E566D3-5494-423E-A568-45F8B885D3AF}"/>
  </cellStyles>
  <dxfs count="2">
    <dxf>
      <font>
        <color rgb="FFFF0000"/>
      </font>
    </dxf>
    <dxf>
      <fill>
        <patternFill>
          <fgColor indexed="64"/>
          <bgColor theme="5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142875</xdr:rowOff>
        </xdr:from>
        <xdr:to>
          <xdr:col>3</xdr:col>
          <xdr:colOff>0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積算書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PDFデータ取込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契約時邸損書込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引継時邸損書込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比較・外壁差額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Ctrl+Shift+K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見積書作成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2f-watanabe\shareddocs\Documents%20and%20Settings\All%20Users\Documents\&#31649;&#29702;&#36039;&#26009;\&#37048;&#21029;&#31649;&#29702;&#21488;&#24115;\&#31649;&#29702;&#21488;&#24115;\&#36039;&#37329;&#38306;&#20418;&#36039;&#26009;(Ver.2004.01)\&#24341;&#32153;&#29992;&#36039;&#37329;&#35336;&#30011;&#26360;(Ver.2004.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引継用資金計画書(Ver.2004.01)"/>
      <sheetName val="#REF"/>
      <sheetName val="Sheet1"/>
      <sheetName val="公定歩合"/>
      <sheetName val="0203　ｂｊ　10%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2:E17"/>
  <sheetViews>
    <sheetView tabSelected="1" workbookViewId="0"/>
  </sheetViews>
  <sheetFormatPr defaultColWidth="9.125" defaultRowHeight="18.75" x14ac:dyDescent="0.4"/>
  <cols>
    <col min="1" max="1" width="3.125" customWidth="1"/>
    <col min="4" max="4" width="3.125" customWidth="1"/>
  </cols>
  <sheetData>
    <row r="2" spans="5:5" x14ac:dyDescent="0.4">
      <c r="E2" t="s">
        <v>170</v>
      </c>
    </row>
    <row r="3" spans="5:5" x14ac:dyDescent="0.4">
      <c r="E3" t="s">
        <v>168</v>
      </c>
    </row>
    <row r="5" spans="5:5" x14ac:dyDescent="0.4">
      <c r="E5" t="s">
        <v>176</v>
      </c>
    </row>
    <row r="6" spans="5:5" x14ac:dyDescent="0.4">
      <c r="E6" t="s">
        <v>169</v>
      </c>
    </row>
    <row r="7" spans="5:5" x14ac:dyDescent="0.4">
      <c r="E7" t="s">
        <v>180</v>
      </c>
    </row>
    <row r="8" spans="5:5" x14ac:dyDescent="0.4">
      <c r="E8" t="s">
        <v>181</v>
      </c>
    </row>
    <row r="10" spans="5:5" x14ac:dyDescent="0.4">
      <c r="E10" t="s">
        <v>204</v>
      </c>
    </row>
    <row r="11" spans="5:5" x14ac:dyDescent="0.4">
      <c r="E11" t="s">
        <v>205</v>
      </c>
    </row>
    <row r="13" spans="5:5" x14ac:dyDescent="0.4">
      <c r="E13" t="s">
        <v>156</v>
      </c>
    </row>
    <row r="14" spans="5:5" x14ac:dyDescent="0.4">
      <c r="E14" t="s">
        <v>177</v>
      </c>
    </row>
    <row r="16" spans="5:5" x14ac:dyDescent="0.4">
      <c r="E16" t="s">
        <v>254</v>
      </c>
    </row>
    <row r="17" spans="5:5" x14ac:dyDescent="0.4">
      <c r="E17" t="s">
        <v>255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DFファイル読込">
                <anchor moveWithCells="1">
                  <from>
                    <xdr:col>1</xdr:col>
                    <xdr:colOff>0</xdr:colOff>
                    <xdr:row>0</xdr:row>
                    <xdr:rowOff>142875</xdr:rowOff>
                  </from>
                  <to>
                    <xdr:col>3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邸損書込_契約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邸損書込_引継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比較_外壁差額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見積書作成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E262-4DF7-4539-96AA-9DDD17F43605}">
  <sheetPr codeName="Sheet49">
    <tabColor theme="7"/>
    <pageSetUpPr fitToPage="1"/>
  </sheetPr>
  <dimension ref="A1:AE110"/>
  <sheetViews>
    <sheetView workbookViewId="0"/>
  </sheetViews>
  <sheetFormatPr defaultRowHeight="18.75" x14ac:dyDescent="0.4"/>
  <cols>
    <col min="1" max="1" width="18.5" bestFit="1" customWidth="1"/>
    <col min="2" max="3" width="30.625" customWidth="1"/>
    <col min="4" max="6" width="11.75" customWidth="1"/>
    <col min="7" max="7" width="3" customWidth="1"/>
    <col min="8" max="8" width="37.625" bestFit="1" customWidth="1"/>
    <col min="9" max="9" width="12" bestFit="1" customWidth="1"/>
    <col min="10" max="10" width="2.5" customWidth="1"/>
    <col min="11" max="11" width="37.625" customWidth="1"/>
    <col min="12" max="12" width="11" style="30" bestFit="1" customWidth="1"/>
    <col min="13" max="13" width="2.625" customWidth="1"/>
    <col min="14" max="14" width="27" customWidth="1"/>
    <col min="15" max="19" width="9.875" customWidth="1"/>
    <col min="20" max="20" width="11.375" bestFit="1" customWidth="1"/>
    <col min="21" max="31" width="4.875" customWidth="1"/>
  </cols>
  <sheetData>
    <row r="1" spans="1:31" x14ac:dyDescent="0.4">
      <c r="A1" s="26"/>
      <c r="B1" s="28" t="s">
        <v>102</v>
      </c>
      <c r="C1" s="28" t="s">
        <v>199</v>
      </c>
      <c r="D1" s="28" t="s">
        <v>182</v>
      </c>
      <c r="E1" s="28" t="s">
        <v>182</v>
      </c>
      <c r="F1" s="29" t="s">
        <v>103</v>
      </c>
      <c r="G1" s="19"/>
      <c r="H1" s="26" t="s">
        <v>154</v>
      </c>
      <c r="I1" s="27">
        <f ca="1">SUM(I2:I63)</f>
        <v>0</v>
      </c>
      <c r="K1" t="str" cm="1">
        <f t="array" aca="1" ref="K1" ca="1">_xlfn._xlws.FILTER(H:I, I:I&lt;&gt;0, "No data")</f>
        <v>No data</v>
      </c>
      <c r="N1" s="59" t="s">
        <v>197</v>
      </c>
      <c r="O1" s="60" t="s">
        <v>196</v>
      </c>
      <c r="P1" s="60" t="s">
        <v>104</v>
      </c>
      <c r="Q1" s="60" t="s">
        <v>105</v>
      </c>
      <c r="R1" s="60" t="s">
        <v>106</v>
      </c>
      <c r="S1" s="60" t="s">
        <v>198</v>
      </c>
      <c r="U1" s="57" t="s">
        <v>202</v>
      </c>
      <c r="V1" s="55"/>
      <c r="W1" s="55"/>
      <c r="X1" s="55"/>
      <c r="Y1" s="56"/>
      <c r="Z1" s="54" t="s">
        <v>132</v>
      </c>
      <c r="AA1" s="55"/>
      <c r="AB1" s="55"/>
      <c r="AC1" s="55"/>
      <c r="AD1" s="55"/>
      <c r="AE1" s="56"/>
    </row>
    <row r="2" spans="1:31" x14ac:dyDescent="0.4">
      <c r="A2" s="36" t="s">
        <v>166</v>
      </c>
      <c r="B2" s="44">
        <f ca="1">INDIRECT("'"&amp;$B$1&amp;"'!"&amp;ADDRESS(2,2))</f>
        <v>0</v>
      </c>
      <c r="C2" s="44">
        <f ca="1">INDIRECT("'"&amp;$C$1&amp;"'!"&amp;ADDRESS(2,2))</f>
        <v>0</v>
      </c>
      <c r="D2" s="50">
        <f ca="1">IF(C1="クリア",VLOOKUP(D1,N2:S11,6,FALSE),"")</f>
        <v>0</v>
      </c>
      <c r="E2" s="50">
        <f ca="1">IF(C1="クリア",VLOOKUP(E1,N2:S11,6,FALSE),"")</f>
        <v>0</v>
      </c>
      <c r="F2" s="51">
        <f ca="1">IF(C1="クリア",(E2-D2),"")</f>
        <v>0</v>
      </c>
      <c r="G2" s="13"/>
      <c r="H2" s="20">
        <f ca="1">INDIRECT("'"&amp;$B$1&amp;"'!"&amp;ADDRESS(22,5))</f>
        <v>0</v>
      </c>
      <c r="I2" s="21">
        <f ca="1">INDIRECT("'"&amp;$B$1&amp;"'!"&amp;ADDRESS(22,8))-INDIRECT("'"&amp;$C$1&amp;"'!"&amp;ADDRESS(22,8))</f>
        <v>0</v>
      </c>
      <c r="N2" s="11" t="s">
        <v>188</v>
      </c>
      <c r="O2" s="52">
        <f ca="1">(U$13*U2+V$13*V2+W$13*W2)*1000</f>
        <v>0</v>
      </c>
      <c r="P2" s="52">
        <f ca="1">(U$14*Z2+V$14*AA2)*1000</f>
        <v>0</v>
      </c>
      <c r="Q2" s="52">
        <f t="shared" ref="Q2:Q7" ca="1" si="0">($U$14*AC2+$V$14*AD2+$W$14*AE2)*1000</f>
        <v>0</v>
      </c>
      <c r="R2" s="52">
        <f t="shared" ref="R2:R8" ca="1" si="1">B$26*R$14*1000</f>
        <v>0</v>
      </c>
      <c r="S2" s="49">
        <f ca="1">SUM(O2:R2)</f>
        <v>0</v>
      </c>
      <c r="U2" s="58">
        <v>40.1</v>
      </c>
      <c r="V2" s="58">
        <v>24.1</v>
      </c>
      <c r="W2" s="58">
        <v>12</v>
      </c>
      <c r="X2" s="58"/>
      <c r="Y2" s="58"/>
      <c r="Z2" s="58">
        <v>35</v>
      </c>
      <c r="AA2" s="58">
        <v>18</v>
      </c>
      <c r="AB2" s="58">
        <v>0</v>
      </c>
      <c r="AC2" s="58">
        <v>0.6</v>
      </c>
      <c r="AD2" s="58">
        <v>0.3</v>
      </c>
      <c r="AE2" s="58">
        <v>2</v>
      </c>
    </row>
    <row r="3" spans="1:31" x14ac:dyDescent="0.4">
      <c r="A3" s="37" t="s">
        <v>159</v>
      </c>
      <c r="B3" s="45">
        <f ca="1">INDIRECT("'"&amp;$B$1&amp;"'!"&amp;ADDRESS(3,2))</f>
        <v>0</v>
      </c>
      <c r="C3" s="45">
        <f ca="1">INDIRECT("'"&amp;$C$1&amp;"'!"&amp;ADDRESS(3,2))</f>
        <v>0</v>
      </c>
      <c r="D3" s="31"/>
      <c r="E3" s="31"/>
      <c r="F3" s="38"/>
      <c r="G3" s="10"/>
      <c r="H3" s="22">
        <f ca="1">INDIRECT("'"&amp;$B$1&amp;"'!"&amp;ADDRESS(23,5))</f>
        <v>0</v>
      </c>
      <c r="I3" s="23">
        <f ca="1">INDIRECT("'"&amp;$B$1&amp;"'!"&amp;ADDRESS(23,8))-INDIRECT("'"&amp;$C$1&amp;"'!"&amp;ADDRESS(23,8))</f>
        <v>0</v>
      </c>
      <c r="N3" s="11" t="s">
        <v>189</v>
      </c>
      <c r="O3" s="52">
        <f t="shared" ref="O3:O9" ca="1" si="2">(U$13*U3+V$13*V3+W$13*W3)*1000</f>
        <v>0</v>
      </c>
      <c r="P3" s="52">
        <f ca="1">(U$14*Z2+V$14*AA2)*1000</f>
        <v>0</v>
      </c>
      <c r="Q3" s="52">
        <f t="shared" ca="1" si="0"/>
        <v>0</v>
      </c>
      <c r="R3" s="52">
        <f t="shared" ca="1" si="1"/>
        <v>0</v>
      </c>
      <c r="S3" s="49">
        <f t="shared" ref="S3:S11" ca="1" si="3">SUM(O3:R3)</f>
        <v>0</v>
      </c>
      <c r="U3" s="58">
        <v>40.6</v>
      </c>
      <c r="V3" s="58">
        <v>24.4</v>
      </c>
      <c r="W3" s="58">
        <v>10</v>
      </c>
      <c r="X3" s="58"/>
      <c r="Y3" s="58"/>
      <c r="Z3" s="58">
        <v>35</v>
      </c>
      <c r="AA3" s="58">
        <v>18</v>
      </c>
      <c r="AB3" s="58">
        <v>0</v>
      </c>
      <c r="AC3" s="58">
        <v>0.6</v>
      </c>
      <c r="AD3" s="58">
        <v>0.3</v>
      </c>
      <c r="AE3" s="58">
        <v>2</v>
      </c>
    </row>
    <row r="4" spans="1:31" x14ac:dyDescent="0.4">
      <c r="A4" s="36" t="s">
        <v>160</v>
      </c>
      <c r="B4" s="44">
        <f ca="1">INDIRECT("'"&amp;$B$1&amp;"'!"&amp;ADDRESS(4,2))</f>
        <v>0</v>
      </c>
      <c r="C4" s="44">
        <f ca="1">INDIRECT("'"&amp;$C$1&amp;"'!"&amp;ADDRESS(4,2))</f>
        <v>0</v>
      </c>
      <c r="D4" s="32" t="s">
        <v>157</v>
      </c>
      <c r="E4" s="32"/>
      <c r="F4" s="39"/>
      <c r="G4" s="10"/>
      <c r="H4" s="20">
        <f ca="1">INDIRECT("'"&amp;$B$1&amp;"'!"&amp;ADDRESS(24,5))</f>
        <v>0</v>
      </c>
      <c r="I4" s="21">
        <f ca="1">INDIRECT("'"&amp;$B$1&amp;"'!"&amp;ADDRESS(24,8))-INDIRECT("'"&amp;$C$1&amp;"'!"&amp;ADDRESS(24,8))</f>
        <v>0</v>
      </c>
      <c r="N4" s="11" t="s">
        <v>187</v>
      </c>
      <c r="O4" s="52">
        <f t="shared" ca="1" si="2"/>
        <v>0</v>
      </c>
      <c r="P4" s="52">
        <f ca="1">(U$14*Z2+V$14*AA2)*1000</f>
        <v>0</v>
      </c>
      <c r="Q4" s="52">
        <f t="shared" ca="1" si="0"/>
        <v>0</v>
      </c>
      <c r="R4" s="52">
        <f t="shared" ca="1" si="1"/>
        <v>0</v>
      </c>
      <c r="S4" s="49">
        <f t="shared" ca="1" si="3"/>
        <v>0</v>
      </c>
      <c r="U4" s="58">
        <v>41</v>
      </c>
      <c r="V4" s="58">
        <v>23.1</v>
      </c>
      <c r="W4" s="58">
        <v>10</v>
      </c>
      <c r="X4" s="58"/>
      <c r="Y4" s="58"/>
      <c r="Z4" s="58">
        <v>35</v>
      </c>
      <c r="AA4" s="58">
        <v>18</v>
      </c>
      <c r="AB4" s="58">
        <v>0</v>
      </c>
      <c r="AC4" s="58">
        <v>0.6</v>
      </c>
      <c r="AD4" s="58">
        <v>0.3</v>
      </c>
      <c r="AE4" s="58">
        <v>2</v>
      </c>
    </row>
    <row r="5" spans="1:31" x14ac:dyDescent="0.4">
      <c r="A5" s="37" t="s">
        <v>161</v>
      </c>
      <c r="B5" s="45">
        <f ca="1">INDIRECT("'"&amp;$B$1&amp;"'!"&amp;ADDRESS(5,2))</f>
        <v>0</v>
      </c>
      <c r="C5" s="45">
        <f ca="1">INDIRECT("'"&amp;$C$1&amp;"'!"&amp;ADDRESS(5,2))</f>
        <v>0</v>
      </c>
      <c r="D5" s="31" t="s">
        <v>158</v>
      </c>
      <c r="E5" s="31"/>
      <c r="F5" s="38"/>
      <c r="G5" s="10"/>
      <c r="H5" s="22">
        <f ca="1">INDIRECT("'"&amp;$B$1&amp;"'!"&amp;ADDRESS(25,5))</f>
        <v>0</v>
      </c>
      <c r="I5" s="23">
        <f ca="1">INDIRECT("'"&amp;$B$1&amp;"'!"&amp;ADDRESS(25,8))-INDIRECT("'"&amp;$C$1&amp;"'!"&amp;ADDRESS(25,8))</f>
        <v>0</v>
      </c>
      <c r="N5" s="11" t="s">
        <v>128</v>
      </c>
      <c r="O5" s="52">
        <f t="shared" ca="1" si="2"/>
        <v>0</v>
      </c>
      <c r="P5" s="52">
        <f ca="1">(U$14*Z2+V$14*AA2)*1000</f>
        <v>0</v>
      </c>
      <c r="Q5" s="52">
        <f t="shared" ca="1" si="0"/>
        <v>0</v>
      </c>
      <c r="R5" s="52">
        <f t="shared" ca="1" si="1"/>
        <v>0</v>
      </c>
      <c r="S5" s="49">
        <f t="shared" ca="1" si="3"/>
        <v>0</v>
      </c>
      <c r="U5" s="58">
        <v>41.5</v>
      </c>
      <c r="V5" s="58">
        <v>23.3</v>
      </c>
      <c r="W5" s="58">
        <v>10</v>
      </c>
      <c r="X5" s="58"/>
      <c r="Y5" s="58"/>
      <c r="Z5" s="58">
        <v>35</v>
      </c>
      <c r="AA5" s="58">
        <v>18</v>
      </c>
      <c r="AB5" s="58">
        <v>0</v>
      </c>
      <c r="AC5" s="58">
        <v>0.6</v>
      </c>
      <c r="AD5" s="58">
        <v>0.3</v>
      </c>
      <c r="AE5" s="58">
        <v>2</v>
      </c>
    </row>
    <row r="6" spans="1:31" x14ac:dyDescent="0.4">
      <c r="A6" s="36" t="s">
        <v>162</v>
      </c>
      <c r="B6" s="44">
        <f ca="1">INDIRECT("'"&amp;$B$1&amp;"'!"&amp;ADDRESS(6,2))</f>
        <v>0</v>
      </c>
      <c r="C6" s="44">
        <f ca="1">INDIRECT("'"&amp;$C$1&amp;"'!"&amp;ADDRESS(6,2))</f>
        <v>0</v>
      </c>
      <c r="D6" s="32"/>
      <c r="E6" s="32"/>
      <c r="F6" s="39"/>
      <c r="G6" s="10"/>
      <c r="H6" s="20">
        <f ca="1">INDIRECT("'"&amp;$B$1&amp;"'!"&amp;ADDRESS(26,5))</f>
        <v>0</v>
      </c>
      <c r="I6" s="21">
        <f ca="1">INDIRECT("'"&amp;$B$1&amp;"'!"&amp;ADDRESS(26,8))-INDIRECT("'"&amp;$C$1&amp;"'!"&amp;ADDRESS(26,8))</f>
        <v>0</v>
      </c>
      <c r="N6" s="11" t="s">
        <v>185</v>
      </c>
      <c r="O6" s="52">
        <f ca="1">(U$13*U6+V$13*V6+W$13*W6)*1000</f>
        <v>0</v>
      </c>
      <c r="P6" s="52">
        <f ca="1">(U$14*Z6+V$14*AA6)*1000</f>
        <v>0</v>
      </c>
      <c r="Q6" s="52">
        <f t="shared" ca="1" si="0"/>
        <v>0</v>
      </c>
      <c r="R6" s="52">
        <f t="shared" ca="1" si="1"/>
        <v>0</v>
      </c>
      <c r="S6" s="49">
        <f t="shared" ca="1" si="3"/>
        <v>0</v>
      </c>
      <c r="U6" s="58">
        <v>42.9</v>
      </c>
      <c r="V6" s="58">
        <v>24.3</v>
      </c>
      <c r="W6" s="58">
        <v>12</v>
      </c>
      <c r="X6" s="58"/>
      <c r="Y6" s="58"/>
      <c r="Z6" s="58">
        <v>42</v>
      </c>
      <c r="AA6" s="58">
        <v>21</v>
      </c>
      <c r="AB6" s="58">
        <v>0</v>
      </c>
      <c r="AC6" s="58">
        <v>0.6</v>
      </c>
      <c r="AD6" s="58">
        <v>0.3</v>
      </c>
      <c r="AE6" s="58">
        <v>2</v>
      </c>
    </row>
    <row r="7" spans="1:31" x14ac:dyDescent="0.4">
      <c r="A7" s="37" t="s">
        <v>163</v>
      </c>
      <c r="B7" s="45">
        <f ca="1">INDIRECT("'"&amp;$B$1&amp;"'!"&amp;ADDRESS(7,2))</f>
        <v>0</v>
      </c>
      <c r="C7" s="45">
        <f ca="1">INDIRECT("'"&amp;$C$1&amp;"'!"&amp;ADDRESS(7,2))</f>
        <v>0</v>
      </c>
      <c r="D7" s="31"/>
      <c r="E7" s="31"/>
      <c r="F7" s="38"/>
      <c r="G7" s="10"/>
      <c r="H7" s="22">
        <f ca="1">INDIRECT("'"&amp;$B$1&amp;"'!"&amp;ADDRESS(27,5))</f>
        <v>0</v>
      </c>
      <c r="I7" s="23">
        <f ca="1">INDIRECT("'"&amp;$B$1&amp;"'!"&amp;ADDRESS(27,8))-INDIRECT("'"&amp;$C$1&amp;"'!"&amp;ADDRESS(27,8))</f>
        <v>0</v>
      </c>
      <c r="N7" s="11" t="s">
        <v>122</v>
      </c>
      <c r="O7" s="52">
        <f ca="1">(U$13*U7+V$13*V7+W$13*W7)*1000</f>
        <v>0</v>
      </c>
      <c r="P7" s="52">
        <f ca="1">(U$14*Z6+V$14*AA6)*1000</f>
        <v>0</v>
      </c>
      <c r="Q7" s="52">
        <f t="shared" ca="1" si="0"/>
        <v>0</v>
      </c>
      <c r="R7" s="52">
        <f t="shared" ca="1" si="1"/>
        <v>0</v>
      </c>
      <c r="S7" s="49">
        <f t="shared" ca="1" si="3"/>
        <v>0</v>
      </c>
      <c r="U7" s="58">
        <v>43.4</v>
      </c>
      <c r="V7" s="58">
        <v>24.5</v>
      </c>
      <c r="W7" s="58">
        <v>12</v>
      </c>
      <c r="X7" s="58"/>
      <c r="Y7" s="58"/>
      <c r="Z7" s="58">
        <v>42</v>
      </c>
      <c r="AA7" s="58">
        <v>21</v>
      </c>
      <c r="AB7" s="58">
        <v>0</v>
      </c>
      <c r="AC7" s="58">
        <v>0.6</v>
      </c>
      <c r="AD7" s="58">
        <v>0.3</v>
      </c>
      <c r="AE7" s="58">
        <v>2</v>
      </c>
    </row>
    <row r="8" spans="1:31" x14ac:dyDescent="0.4">
      <c r="A8" s="36" t="s">
        <v>70</v>
      </c>
      <c r="B8" s="44">
        <f ca="1">INDIRECT("'"&amp;$B$1&amp;"'!"&amp;ADDRESS(8,2))</f>
        <v>0</v>
      </c>
      <c r="C8" s="44">
        <f ca="1">INDIRECT("'"&amp;$C$1&amp;"'!"&amp;ADDRESS(8,2))</f>
        <v>0</v>
      </c>
      <c r="D8" s="32"/>
      <c r="E8" s="32"/>
      <c r="F8" s="39"/>
      <c r="G8" s="10"/>
      <c r="H8" s="20">
        <f ca="1">INDIRECT("'"&amp;$B$1&amp;"'!"&amp;ADDRESS(28,5))</f>
        <v>0</v>
      </c>
      <c r="I8" s="21">
        <f ca="1">INDIRECT("'"&amp;$B$1&amp;"'!"&amp;ADDRESS(28,8))-INDIRECT("'"&amp;$C$1&amp;"'!"&amp;ADDRESS(28,8))</f>
        <v>0</v>
      </c>
      <c r="N8" s="11" t="s">
        <v>186</v>
      </c>
      <c r="O8" s="52">
        <f ca="1">(U$13*U8+V$13*V8+W$13*W8)*1000+O6</f>
        <v>0</v>
      </c>
      <c r="P8" s="52">
        <f ca="1">(U$14*Z6+V$14*AA6)*1000+(U$14*Z8+V$14*AA8)*1000</f>
        <v>0</v>
      </c>
      <c r="Q8" s="52">
        <f ca="1">($U$14*AC7+$V$14*AD7+$W$14*AE7)*1000</f>
        <v>0</v>
      </c>
      <c r="R8" s="52">
        <f t="shared" ca="1" si="1"/>
        <v>0</v>
      </c>
      <c r="S8" s="49">
        <f t="shared" ca="1" si="3"/>
        <v>0</v>
      </c>
      <c r="U8" s="58">
        <v>4</v>
      </c>
      <c r="V8" s="58">
        <v>2.5</v>
      </c>
      <c r="W8" s="58"/>
      <c r="X8" s="58"/>
      <c r="Y8" s="58"/>
      <c r="Z8" s="58">
        <v>5</v>
      </c>
      <c r="AA8" s="58">
        <v>2.5</v>
      </c>
      <c r="AB8" s="58"/>
      <c r="AC8" s="58">
        <v>0</v>
      </c>
      <c r="AD8" s="58">
        <v>0</v>
      </c>
      <c r="AE8" s="58"/>
    </row>
    <row r="9" spans="1:31" x14ac:dyDescent="0.4">
      <c r="A9" s="37" t="s">
        <v>71</v>
      </c>
      <c r="B9" s="45">
        <f ca="1">INDIRECT("'"&amp;$B$1&amp;"'!"&amp;ADDRESS(9,2))</f>
        <v>0</v>
      </c>
      <c r="C9" s="45">
        <f ca="1">INDIRECT("'"&amp;$C$1&amp;"'!"&amp;ADDRESS(9,2))</f>
        <v>0</v>
      </c>
      <c r="D9" s="31"/>
      <c r="E9" s="31"/>
      <c r="F9" s="40"/>
      <c r="H9" s="22">
        <f ca="1">INDIRECT("'"&amp;$B$1&amp;"'!"&amp;ADDRESS(29,5))</f>
        <v>0</v>
      </c>
      <c r="I9" s="23">
        <f ca="1">INDIRECT("'"&amp;$B$1&amp;"'!"&amp;ADDRESS(29,8))-INDIRECT("'"&amp;$C$1&amp;"'!"&amp;ADDRESS(29,8))</f>
        <v>0</v>
      </c>
      <c r="N9" s="11" t="s">
        <v>182</v>
      </c>
      <c r="O9" s="52">
        <f t="shared" ca="1" si="2"/>
        <v>0</v>
      </c>
      <c r="P9" s="52">
        <f ca="1">(U$14*Z9+V$14*AA9)*1000</f>
        <v>0</v>
      </c>
      <c r="Q9" s="52">
        <f ca="1">($U$14*AC9+$V$14*AD9+$W$14*AE9)*1000</f>
        <v>0</v>
      </c>
      <c r="R9" s="52">
        <f ca="1">B$26*R$13*1000</f>
        <v>0</v>
      </c>
      <c r="S9" s="49">
        <f t="shared" ca="1" si="3"/>
        <v>0</v>
      </c>
      <c r="U9" s="58">
        <v>54.5</v>
      </c>
      <c r="V9" s="58">
        <v>27.2</v>
      </c>
      <c r="W9" s="58">
        <v>16.5</v>
      </c>
      <c r="X9" s="58"/>
      <c r="Y9" s="58"/>
      <c r="Z9" s="58">
        <v>48</v>
      </c>
      <c r="AA9" s="58">
        <v>24</v>
      </c>
      <c r="AB9" s="58">
        <v>0</v>
      </c>
      <c r="AC9" s="58">
        <v>0.6</v>
      </c>
      <c r="AD9" s="58">
        <v>0.3</v>
      </c>
      <c r="AE9" s="58">
        <v>2</v>
      </c>
    </row>
    <row r="10" spans="1:31" x14ac:dyDescent="0.4">
      <c r="A10" s="36" t="s">
        <v>72</v>
      </c>
      <c r="B10" s="44">
        <f ca="1">INDIRECT("'"&amp;$B$1&amp;"'!"&amp;ADDRESS(10,2))</f>
        <v>0</v>
      </c>
      <c r="C10" s="44">
        <f ca="1">INDIRECT("'"&amp;$C$1&amp;"'!"&amp;ADDRESS(10,2))</f>
        <v>0</v>
      </c>
      <c r="D10" s="32"/>
      <c r="E10" s="32"/>
      <c r="F10" s="41"/>
      <c r="H10" s="20">
        <f ca="1">INDIRECT("'"&amp;$B$1&amp;"'!"&amp;ADDRESS(30,5))</f>
        <v>0</v>
      </c>
      <c r="I10" s="21">
        <f ca="1">INDIRECT("'"&amp;$B$1&amp;"'!"&amp;ADDRESS(30,8))-INDIRECT("'"&amp;$C$1&amp;"'!"&amp;ADDRESS(30,8))</f>
        <v>0</v>
      </c>
      <c r="N10" s="11" t="s">
        <v>183</v>
      </c>
      <c r="O10" s="52">
        <f ca="1">(U$13*(U10+X10)+V$13*(V10+Y10)+W$13*W10)*1000</f>
        <v>0</v>
      </c>
      <c r="P10" s="52">
        <f ca="1">(U$14*Z10+V$14*AA10)*1000</f>
        <v>0</v>
      </c>
      <c r="Q10" s="52">
        <f ca="1">($U$14*AC10+$V$14*AD10+$W$14*AE10)*1000</f>
        <v>0</v>
      </c>
      <c r="R10" s="52">
        <f ca="1">B$26*R$13*1000</f>
        <v>0</v>
      </c>
      <c r="S10" s="49">
        <f t="shared" ca="1" si="3"/>
        <v>0</v>
      </c>
      <c r="U10" s="58">
        <v>63.4</v>
      </c>
      <c r="V10" s="58">
        <v>32.6</v>
      </c>
      <c r="W10" s="58">
        <v>18</v>
      </c>
      <c r="X10" s="58">
        <v>-5.5</v>
      </c>
      <c r="Y10" s="58">
        <v>-2.8</v>
      </c>
      <c r="Z10" s="58">
        <v>50</v>
      </c>
      <c r="AA10" s="58">
        <v>25</v>
      </c>
      <c r="AB10" s="58">
        <v>0</v>
      </c>
      <c r="AC10" s="58">
        <v>0.6</v>
      </c>
      <c r="AD10" s="58">
        <v>0.3</v>
      </c>
      <c r="AE10" s="58">
        <v>2</v>
      </c>
    </row>
    <row r="11" spans="1:31" x14ac:dyDescent="0.4">
      <c r="A11" s="37" t="s">
        <v>80</v>
      </c>
      <c r="B11" s="46">
        <f ca="1">INDIRECT("'"&amp;$B$1&amp;"'!"&amp;ADDRESS(11,2))</f>
        <v>0</v>
      </c>
      <c r="C11" s="46">
        <f ca="1">INDIRECT("'"&amp;$C$1&amp;"'!"&amp;ADDRESS(11,2))</f>
        <v>0</v>
      </c>
      <c r="D11" s="46">
        <f ca="1">B11-C11</f>
        <v>0</v>
      </c>
      <c r="E11" s="31"/>
      <c r="F11" s="40"/>
      <c r="H11" s="22">
        <f ca="1">INDIRECT("'"&amp;$B$1&amp;"'!"&amp;ADDRESS(31,5))</f>
        <v>0</v>
      </c>
      <c r="I11" s="23">
        <f ca="1">INDIRECT("'"&amp;$B$1&amp;"'!"&amp;ADDRESS(31,8))-INDIRECT("'"&amp;$C$1&amp;"'!"&amp;ADDRESS(31,8))</f>
        <v>0</v>
      </c>
      <c r="N11" s="11" t="s">
        <v>184</v>
      </c>
      <c r="O11" s="52">
        <f ca="1">(U$13*U11+V$13*V11+W$13*W11)*1000+O10</f>
        <v>0</v>
      </c>
      <c r="P11" s="52">
        <f ca="1">(U$14*Z10+V$14*AA10)*1000</f>
        <v>0</v>
      </c>
      <c r="Q11" s="52">
        <f ca="1">($U$14*AC10+$V$14*AD10+$W$14*AE10)*1000</f>
        <v>0</v>
      </c>
      <c r="R11" s="52">
        <f ca="1">B$26*R$13*1000</f>
        <v>0</v>
      </c>
      <c r="S11" s="49">
        <f t="shared" ca="1" si="3"/>
        <v>0</v>
      </c>
      <c r="U11" s="58">
        <v>2.1</v>
      </c>
      <c r="V11" s="58">
        <v>0.8</v>
      </c>
      <c r="W11" s="58"/>
      <c r="X11" s="58"/>
      <c r="Y11" s="58"/>
      <c r="Z11" s="58"/>
      <c r="AA11" s="58"/>
      <c r="AB11" s="58"/>
      <c r="AC11" s="58"/>
      <c r="AD11" s="58"/>
      <c r="AE11" s="58"/>
    </row>
    <row r="12" spans="1:31" x14ac:dyDescent="0.4">
      <c r="A12" s="36" t="s">
        <v>81</v>
      </c>
      <c r="B12" s="47">
        <f ca="1">INDIRECT("'"&amp;$B$1&amp;"'!"&amp;ADDRESS(12,2))</f>
        <v>0</v>
      </c>
      <c r="C12" s="47">
        <f ca="1">INDIRECT("'"&amp;$C$1&amp;"'!"&amp;ADDRESS(12,2))</f>
        <v>0</v>
      </c>
      <c r="D12" s="47">
        <f t="shared" ref="D12:D16" ca="1" si="4">B12-C12</f>
        <v>0</v>
      </c>
      <c r="E12" s="32"/>
      <c r="F12" s="41"/>
      <c r="H12" s="20">
        <f ca="1">INDIRECT("'"&amp;$B$1&amp;"'!"&amp;ADDRESS(32,5))</f>
        <v>0</v>
      </c>
      <c r="I12" s="21">
        <f ca="1">INDIRECT("'"&amp;$B$1&amp;"'!"&amp;ADDRESS(32,8))-INDIRECT("'"&amp;$C$1&amp;"'!"&amp;ADDRESS(32,8))</f>
        <v>0</v>
      </c>
      <c r="N12" s="14"/>
      <c r="O12" s="15"/>
      <c r="P12" s="16"/>
      <c r="Q12" s="17" t="s">
        <v>144</v>
      </c>
      <c r="R12" s="17"/>
      <c r="S12" s="17"/>
      <c r="U12" s="53" t="s">
        <v>110</v>
      </c>
      <c r="V12" s="53" t="s">
        <v>112</v>
      </c>
      <c r="W12" s="53" t="s">
        <v>113</v>
      </c>
      <c r="X12" s="53" t="s">
        <v>119</v>
      </c>
      <c r="Y12" s="53" t="s">
        <v>120</v>
      </c>
      <c r="Z12" s="53" t="s">
        <v>110</v>
      </c>
      <c r="AA12" s="53" t="s">
        <v>112</v>
      </c>
      <c r="AB12" s="53" t="s">
        <v>113</v>
      </c>
      <c r="AC12" s="53" t="s">
        <v>110</v>
      </c>
      <c r="AD12" s="53" t="s">
        <v>112</v>
      </c>
      <c r="AE12" s="53" t="s">
        <v>113</v>
      </c>
    </row>
    <row r="13" spans="1:31" x14ac:dyDescent="0.4">
      <c r="A13" s="37" t="s">
        <v>167</v>
      </c>
      <c r="B13" s="46">
        <f ca="1">INDIRECT("'"&amp;$B$1&amp;"'!"&amp;ADDRESS(13,2))</f>
        <v>0</v>
      </c>
      <c r="C13" s="46">
        <f ca="1">INDIRECT("'"&amp;$C$1&amp;"'!"&amp;ADDRESS(13,2))</f>
        <v>0</v>
      </c>
      <c r="D13" s="46">
        <f t="shared" ca="1" si="4"/>
        <v>0</v>
      </c>
      <c r="E13" s="31"/>
      <c r="F13" s="40"/>
      <c r="H13" s="22">
        <f ca="1">INDIRECT("'"&amp;$B$1&amp;"'!"&amp;ADDRESS(33,5))</f>
        <v>0</v>
      </c>
      <c r="I13" s="23">
        <f ca="1">INDIRECT("'"&amp;$B$1&amp;"'!"&amp;ADDRESS(33,8))-INDIRECT("'"&amp;$C$1&amp;"'!"&amp;ADDRESS(33,8))</f>
        <v>0</v>
      </c>
      <c r="Q13" s="12" t="s">
        <v>145</v>
      </c>
      <c r="R13" s="12">
        <v>-7</v>
      </c>
      <c r="S13" s="17"/>
      <c r="T13" t="s">
        <v>202</v>
      </c>
      <c r="U13" s="61">
        <f ca="1">B29</f>
        <v>0</v>
      </c>
      <c r="V13" s="61">
        <f ca="1">B30</f>
        <v>0</v>
      </c>
      <c r="W13" s="61">
        <f ca="1">B31</f>
        <v>0</v>
      </c>
      <c r="Z13" s="54" t="s">
        <v>200</v>
      </c>
      <c r="AA13" s="55"/>
      <c r="AB13" s="56"/>
      <c r="AC13" s="54" t="s">
        <v>201</v>
      </c>
      <c r="AD13" s="55"/>
      <c r="AE13" s="56"/>
    </row>
    <row r="14" spans="1:31" x14ac:dyDescent="0.4">
      <c r="A14" s="36" t="s">
        <v>82</v>
      </c>
      <c r="B14" s="47">
        <f ca="1">INDIRECT("'"&amp;$B$1&amp;"'!"&amp;ADDRESS(14,2))</f>
        <v>0</v>
      </c>
      <c r="C14" s="47">
        <f ca="1">INDIRECT("'"&amp;$C$1&amp;"'!"&amp;ADDRESS(14,2))</f>
        <v>0</v>
      </c>
      <c r="D14" s="47">
        <f t="shared" ca="1" si="4"/>
        <v>0</v>
      </c>
      <c r="E14" s="32"/>
      <c r="F14" s="41"/>
      <c r="H14" s="20">
        <f ca="1">INDIRECT("'"&amp;$B$1&amp;"'!"&amp;ADDRESS(34,5))</f>
        <v>0</v>
      </c>
      <c r="I14" s="21">
        <f ca="1">INDIRECT("'"&amp;$B$1&amp;"'!"&amp;ADDRESS(34,8))-INDIRECT("'"&amp;$C$1&amp;"'!"&amp;ADDRESS(34,8))</f>
        <v>0</v>
      </c>
      <c r="O14" s="17"/>
      <c r="P14" s="17"/>
      <c r="Q14" s="12" t="s">
        <v>146</v>
      </c>
      <c r="R14" s="12">
        <v>-17</v>
      </c>
      <c r="S14" s="17"/>
      <c r="T14" t="s">
        <v>203</v>
      </c>
      <c r="U14" s="62">
        <f ca="1">IFERROR(B32,0)</f>
        <v>0</v>
      </c>
      <c r="V14" s="62">
        <f ca="1">IFERROR(B33,0)</f>
        <v>0</v>
      </c>
      <c r="W14" s="62">
        <f ca="1">IFERROR(B34,0)</f>
        <v>0</v>
      </c>
    </row>
    <row r="15" spans="1:31" x14ac:dyDescent="0.4">
      <c r="A15" s="37" t="s">
        <v>83</v>
      </c>
      <c r="B15" s="46">
        <f ca="1">INDIRECT("'"&amp;$B$1&amp;"'!"&amp;ADDRESS(15,2))</f>
        <v>0</v>
      </c>
      <c r="C15" s="46">
        <f ca="1">INDIRECT("'"&amp;$C$1&amp;"'!"&amp;ADDRESS(15,2))</f>
        <v>0</v>
      </c>
      <c r="D15" s="46">
        <f t="shared" ca="1" si="4"/>
        <v>0</v>
      </c>
      <c r="E15" s="31"/>
      <c r="F15" s="40"/>
      <c r="H15" s="22">
        <f ca="1">INDIRECT("'"&amp;$B$1&amp;"'!"&amp;ADDRESS(35,5))</f>
        <v>0</v>
      </c>
      <c r="I15" s="23">
        <f ca="1">INDIRECT("'"&amp;$B$1&amp;"'!"&amp;ADDRESS(35,8))-INDIRECT("'"&amp;$C$1&amp;"'!"&amp;ADDRESS(35,8))</f>
        <v>0</v>
      </c>
      <c r="P15" s="18"/>
      <c r="S15" s="17"/>
    </row>
    <row r="16" spans="1:31" x14ac:dyDescent="0.4">
      <c r="A16" s="36" t="s">
        <v>84</v>
      </c>
      <c r="B16" s="47">
        <f ca="1">INDIRECT("'"&amp;$B$1&amp;"'!"&amp;ADDRESS(16,2))</f>
        <v>0</v>
      </c>
      <c r="C16" s="47">
        <f ca="1">INDIRECT("'"&amp;$C$1&amp;"'!"&amp;ADDRESS(16,2))</f>
        <v>0</v>
      </c>
      <c r="D16" s="47">
        <f t="shared" ca="1" si="4"/>
        <v>0</v>
      </c>
      <c r="E16" s="32"/>
      <c r="F16" s="41"/>
      <c r="H16" s="20">
        <f ca="1">INDIRECT("'"&amp;$B$1&amp;"'!"&amp;ADDRESS(36,5))</f>
        <v>0</v>
      </c>
      <c r="I16" s="21">
        <f ca="1">INDIRECT("'"&amp;$B$1&amp;"'!"&amp;ADDRESS(36,8))-INDIRECT("'"&amp;$C$1&amp;"'!"&amp;ADDRESS(36,8))</f>
        <v>0</v>
      </c>
      <c r="P16" s="18"/>
      <c r="S16" s="17"/>
    </row>
    <row r="17" spans="1:9" x14ac:dyDescent="0.4">
      <c r="A17" s="37" t="s">
        <v>79</v>
      </c>
      <c r="B17" s="45">
        <f ca="1">INDIRECT("'"&amp;$B$1&amp;"'!"&amp;ADDRESS(17,2))</f>
        <v>0</v>
      </c>
      <c r="C17" s="45">
        <f ca="1">INDIRECT("'"&amp;$C$1&amp;"'!"&amp;ADDRESS(17,2))</f>
        <v>0</v>
      </c>
      <c r="D17" s="45"/>
      <c r="E17" s="31"/>
      <c r="F17" s="40"/>
      <c r="H17" s="22">
        <f ca="1">INDIRECT("'"&amp;$B$1&amp;"'!"&amp;ADDRESS(37,5))</f>
        <v>0</v>
      </c>
      <c r="I17" s="23">
        <f ca="1">INDIRECT("'"&amp;$B$1&amp;"'!"&amp;ADDRESS(37,8))-INDIRECT("'"&amp;$C$1&amp;"'!"&amp;ADDRESS(37,8))</f>
        <v>0</v>
      </c>
    </row>
    <row r="18" spans="1:9" x14ac:dyDescent="0.4">
      <c r="A18" s="42" t="s">
        <v>78</v>
      </c>
      <c r="B18" s="44">
        <f ca="1">INDIRECT("'"&amp;$B$1&amp;"'!"&amp;ADDRESS(18,2))</f>
        <v>0</v>
      </c>
      <c r="C18" s="44">
        <f ca="1">INDIRECT("'"&amp;$C$1&amp;"'!"&amp;ADDRESS(18,2))</f>
        <v>0</v>
      </c>
      <c r="D18" s="44"/>
      <c r="E18" s="32"/>
      <c r="F18" s="41"/>
      <c r="H18" s="20">
        <f ca="1">INDIRECT("'"&amp;$B$1&amp;"'!"&amp;ADDRESS(38,5))</f>
        <v>0</v>
      </c>
      <c r="I18" s="21">
        <f ca="1">INDIRECT("'"&amp;$B$1&amp;"'!"&amp;ADDRESS(38,8))-INDIRECT("'"&amp;$C$1&amp;"'!"&amp;ADDRESS(38,8))</f>
        <v>0</v>
      </c>
    </row>
    <row r="19" spans="1:9" x14ac:dyDescent="0.4">
      <c r="A19" s="43" t="s">
        <v>75</v>
      </c>
      <c r="B19" s="45">
        <f ca="1">INDIRECT("'"&amp;$B$1&amp;"'!"&amp;ADDRESS(19,2))</f>
        <v>0</v>
      </c>
      <c r="C19" s="45">
        <f ca="1">INDIRECT("'"&amp;$C$1&amp;"'!"&amp;ADDRESS(19,2))</f>
        <v>0</v>
      </c>
      <c r="D19" s="45"/>
      <c r="E19" s="31"/>
      <c r="F19" s="40"/>
      <c r="H19" s="22">
        <f ca="1">INDIRECT("'"&amp;$B$1&amp;"'!"&amp;ADDRESS(39,5))</f>
        <v>0</v>
      </c>
      <c r="I19" s="23">
        <f ca="1">INDIRECT("'"&amp;$B$1&amp;"'!"&amp;ADDRESS(39,8))-INDIRECT("'"&amp;$C$1&amp;"'!"&amp;ADDRESS(39,8))</f>
        <v>0</v>
      </c>
    </row>
    <row r="20" spans="1:9" x14ac:dyDescent="0.4">
      <c r="A20" s="42" t="s">
        <v>85</v>
      </c>
      <c r="B20" s="44">
        <f ca="1">INDIRECT("'"&amp;$B$1&amp;"'!"&amp;ADDRESS(22,2))</f>
        <v>0</v>
      </c>
      <c r="C20" s="44">
        <f ca="1">INDIRECT("'"&amp;$C$1&amp;"'!"&amp;ADDRESS(22,2))</f>
        <v>0</v>
      </c>
      <c r="D20" s="44">
        <f t="shared" ref="D20:D34" ca="1" si="5">B20-C20</f>
        <v>0</v>
      </c>
      <c r="E20" s="32"/>
      <c r="F20" s="41"/>
      <c r="H20" s="20">
        <f ca="1">INDIRECT("'"&amp;$B$1&amp;"'!"&amp;ADDRESS(40,5))</f>
        <v>0</v>
      </c>
      <c r="I20" s="21">
        <f ca="1">INDIRECT("'"&amp;$B$1&amp;"'!"&amp;ADDRESS(40,8))-INDIRECT("'"&amp;$C$1&amp;"'!"&amp;ADDRESS(40,8))</f>
        <v>0</v>
      </c>
    </row>
    <row r="21" spans="1:9" x14ac:dyDescent="0.4">
      <c r="A21" s="43" t="s">
        <v>86</v>
      </c>
      <c r="B21" s="45">
        <f ca="1">INDIRECT("'"&amp;$B$1&amp;"'!"&amp;ADDRESS(23,2))</f>
        <v>0</v>
      </c>
      <c r="C21" s="45">
        <f ca="1">INDIRECT("'"&amp;$C$1&amp;"'!"&amp;ADDRESS(23,2))</f>
        <v>0</v>
      </c>
      <c r="D21" s="45">
        <f t="shared" ca="1" si="5"/>
        <v>0</v>
      </c>
      <c r="E21" s="31"/>
      <c r="F21" s="40"/>
      <c r="H21" s="22">
        <f ca="1">INDIRECT("'"&amp;$B$1&amp;"'!"&amp;ADDRESS(41,5))</f>
        <v>0</v>
      </c>
      <c r="I21" s="23">
        <f ca="1">INDIRECT("'"&amp;$B$1&amp;"'!"&amp;ADDRESS(41,8))-INDIRECT("'"&amp;$C$1&amp;"'!"&amp;ADDRESS(41,8))</f>
        <v>0</v>
      </c>
    </row>
    <row r="22" spans="1:9" x14ac:dyDescent="0.4">
      <c r="A22" s="42" t="s">
        <v>87</v>
      </c>
      <c r="B22" s="44">
        <f ca="1">INDIRECT("'"&amp;$B$1&amp;"'!"&amp;ADDRESS(24,2))</f>
        <v>0</v>
      </c>
      <c r="C22" s="44">
        <f ca="1">INDIRECT("'"&amp;$C$1&amp;"'!"&amp;ADDRESS(24,2))</f>
        <v>0</v>
      </c>
      <c r="D22" s="44">
        <f t="shared" ca="1" si="5"/>
        <v>0</v>
      </c>
      <c r="E22" s="32"/>
      <c r="F22" s="41"/>
      <c r="H22" s="20">
        <f ca="1">INDIRECT("'"&amp;$B$1&amp;"'!"&amp;ADDRESS(42,5))</f>
        <v>0</v>
      </c>
      <c r="I22" s="21">
        <f ca="1">INDIRECT("'"&amp;$B$1&amp;"'!"&amp;ADDRESS(42,8))-INDIRECT("'"&amp;$C$1&amp;"'!"&amp;ADDRESS(42,8))</f>
        <v>0</v>
      </c>
    </row>
    <row r="23" spans="1:9" x14ac:dyDescent="0.4">
      <c r="A23" s="43" t="s">
        <v>88</v>
      </c>
      <c r="B23" s="45">
        <f ca="1">INDIRECT("'"&amp;$B$1&amp;"'!"&amp;ADDRESS(25,2))</f>
        <v>0</v>
      </c>
      <c r="C23" s="45">
        <f ca="1">INDIRECT("'"&amp;$C$1&amp;"'!"&amp;ADDRESS(25,2))</f>
        <v>0</v>
      </c>
      <c r="D23" s="45">
        <f t="shared" ca="1" si="5"/>
        <v>0</v>
      </c>
      <c r="E23" s="31"/>
      <c r="F23" s="40"/>
      <c r="H23" s="22">
        <f ca="1">INDIRECT("'"&amp;$B$1&amp;"'!"&amp;ADDRESS(43,5))</f>
        <v>0</v>
      </c>
      <c r="I23" s="23">
        <f ca="1">INDIRECT("'"&amp;$B$1&amp;"'!"&amp;ADDRESS(43,8))-INDIRECT("'"&amp;$C$1&amp;"'!"&amp;ADDRESS(43,8))</f>
        <v>0</v>
      </c>
    </row>
    <row r="24" spans="1:9" x14ac:dyDescent="0.4">
      <c r="A24" s="42" t="s">
        <v>89</v>
      </c>
      <c r="B24" s="44">
        <f ca="1">INDIRECT("'"&amp;$B$1&amp;"'!"&amp;ADDRESS(26,2))</f>
        <v>0</v>
      </c>
      <c r="C24" s="44">
        <f ca="1">INDIRECT("'"&amp;$C$1&amp;"'!"&amp;ADDRESS(26,2))</f>
        <v>0</v>
      </c>
      <c r="D24" s="44">
        <f t="shared" ca="1" si="5"/>
        <v>0</v>
      </c>
      <c r="E24" s="32"/>
      <c r="F24" s="41"/>
      <c r="H24" s="20">
        <f ca="1">INDIRECT("'"&amp;$B$1&amp;"'!"&amp;ADDRESS(44,5))</f>
        <v>0</v>
      </c>
      <c r="I24" s="21">
        <f ca="1">INDIRECT("'"&amp;$B$1&amp;"'!"&amp;ADDRESS(44,8))-INDIRECT("'"&amp;$C$1&amp;"'!"&amp;ADDRESS(44,8))</f>
        <v>0</v>
      </c>
    </row>
    <row r="25" spans="1:9" x14ac:dyDescent="0.4">
      <c r="A25" s="43" t="s">
        <v>90</v>
      </c>
      <c r="B25" s="45">
        <f ca="1">INDIRECT("'"&amp;$B$1&amp;"'!"&amp;ADDRESS(27,2))</f>
        <v>0</v>
      </c>
      <c r="C25" s="45">
        <f ca="1">INDIRECT("'"&amp;$C$1&amp;"'!"&amp;ADDRESS(27,2))</f>
        <v>0</v>
      </c>
      <c r="D25" s="45">
        <f t="shared" ca="1" si="5"/>
        <v>0</v>
      </c>
      <c r="E25" s="31"/>
      <c r="F25" s="40"/>
      <c r="H25" s="22">
        <f ca="1">INDIRECT("'"&amp;$B$1&amp;"'!"&amp;ADDRESS(45,5))</f>
        <v>0</v>
      </c>
      <c r="I25" s="23">
        <f ca="1">INDIRECT("'"&amp;$B$1&amp;"'!"&amp;ADDRESS(45,8))-INDIRECT("'"&amp;$C$1&amp;"'!"&amp;ADDRESS(45,8))</f>
        <v>0</v>
      </c>
    </row>
    <row r="26" spans="1:9" x14ac:dyDescent="0.4">
      <c r="A26" s="42" t="s">
        <v>91</v>
      </c>
      <c r="B26" s="44">
        <f ca="1">INDIRECT("'"&amp;$B$1&amp;"'!"&amp;ADDRESS(28,2))</f>
        <v>0</v>
      </c>
      <c r="C26" s="44">
        <f ca="1">INDIRECT("'"&amp;$C$1&amp;"'!"&amp;ADDRESS(28,2))</f>
        <v>0</v>
      </c>
      <c r="D26" s="44">
        <f t="shared" ca="1" si="5"/>
        <v>0</v>
      </c>
      <c r="E26" s="32"/>
      <c r="F26" s="41"/>
      <c r="H26" s="20">
        <f ca="1">INDIRECT("'"&amp;$B$1&amp;"'!"&amp;ADDRESS(46,5))</f>
        <v>0</v>
      </c>
      <c r="I26" s="21">
        <f ca="1">INDIRECT("'"&amp;$B$1&amp;"'!"&amp;ADDRESS(46,8))-INDIRECT("'"&amp;$C$1&amp;"'!"&amp;ADDRESS(46,8))</f>
        <v>0</v>
      </c>
    </row>
    <row r="27" spans="1:9" x14ac:dyDescent="0.4">
      <c r="A27" s="43" t="s">
        <v>164</v>
      </c>
      <c r="B27" s="45">
        <f ca="1">INDIRECT("'"&amp;$B$1&amp;"'!"&amp;ADDRESS(29,2))</f>
        <v>0</v>
      </c>
      <c r="C27" s="45">
        <f ca="1">INDIRECT("'"&amp;$C$1&amp;"'!"&amp;ADDRESS(29,2))</f>
        <v>0</v>
      </c>
      <c r="D27" s="45">
        <f t="shared" ca="1" si="5"/>
        <v>0</v>
      </c>
      <c r="E27" s="31"/>
      <c r="F27" s="40"/>
      <c r="H27" s="22">
        <f ca="1">INDIRECT("'"&amp;$B$1&amp;"'!"&amp;ADDRESS(47,5))</f>
        <v>0</v>
      </c>
      <c r="I27" s="23">
        <f ca="1">INDIRECT("'"&amp;$B$1&amp;"'!"&amp;ADDRESS(47,8))-INDIRECT("'"&amp;$C$1&amp;"'!"&amp;ADDRESS(47,8))</f>
        <v>0</v>
      </c>
    </row>
    <row r="28" spans="1:9" x14ac:dyDescent="0.4">
      <c r="A28" s="42" t="s">
        <v>165</v>
      </c>
      <c r="B28" s="44">
        <f ca="1">INDIRECT("'"&amp;$B$1&amp;"'!"&amp;ADDRESS(30,2))</f>
        <v>0</v>
      </c>
      <c r="C28" s="44">
        <f ca="1">INDIRECT("'"&amp;$C$1&amp;"'!"&amp;ADDRESS(30,2))</f>
        <v>0</v>
      </c>
      <c r="D28" s="44">
        <f t="shared" ca="1" si="5"/>
        <v>0</v>
      </c>
      <c r="E28" s="32"/>
      <c r="F28" s="41"/>
      <c r="H28" s="20">
        <f ca="1">INDIRECT("'"&amp;$B$1&amp;"'!"&amp;ADDRESS(48,5))</f>
        <v>0</v>
      </c>
      <c r="I28" s="21">
        <f ca="1">INDIRECT("'"&amp;$B$1&amp;"'!"&amp;ADDRESS(48,8))-INDIRECT("'"&amp;$C$1&amp;"'!"&amp;ADDRESS(48,8))</f>
        <v>0</v>
      </c>
    </row>
    <row r="29" spans="1:9" x14ac:dyDescent="0.4">
      <c r="A29" s="43" t="s">
        <v>92</v>
      </c>
      <c r="B29" s="45">
        <f ca="1">INDIRECT("'"&amp;$B$1&amp;"'!"&amp;ADDRESS(31,2))</f>
        <v>0</v>
      </c>
      <c r="C29" s="45">
        <f ca="1">INDIRECT("'"&amp;$C$1&amp;"'!"&amp;ADDRESS(31,2))</f>
        <v>0</v>
      </c>
      <c r="D29" s="45">
        <f t="shared" ca="1" si="5"/>
        <v>0</v>
      </c>
      <c r="E29" s="31"/>
      <c r="F29" s="40"/>
      <c r="H29" s="22">
        <f ca="1">INDIRECT("'"&amp;$B$1&amp;"'!"&amp;ADDRESS(49,5))</f>
        <v>0</v>
      </c>
      <c r="I29" s="23">
        <f ca="1">INDIRECT("'"&amp;$B$1&amp;"'!"&amp;ADDRESS(49,8))-INDIRECT("'"&amp;$C$1&amp;"'!"&amp;ADDRESS(49,8))</f>
        <v>0</v>
      </c>
    </row>
    <row r="30" spans="1:9" x14ac:dyDescent="0.4">
      <c r="A30" s="42" t="s">
        <v>93</v>
      </c>
      <c r="B30" s="44">
        <f ca="1">INDIRECT("'"&amp;$B$1&amp;"'!"&amp;ADDRESS(32,2))</f>
        <v>0</v>
      </c>
      <c r="C30" s="44">
        <f ca="1">INDIRECT("'"&amp;$C$1&amp;"'!"&amp;ADDRESS(32,2))</f>
        <v>0</v>
      </c>
      <c r="D30" s="44">
        <f t="shared" ca="1" si="5"/>
        <v>0</v>
      </c>
      <c r="E30" s="32"/>
      <c r="F30" s="41"/>
      <c r="H30" s="20">
        <f ca="1">INDIRECT("'"&amp;$B$1&amp;"'!"&amp;ADDRESS(50,5))</f>
        <v>0</v>
      </c>
      <c r="I30" s="21">
        <f ca="1">INDIRECT("'"&amp;$B$1&amp;"'!"&amp;ADDRESS(50,8))-INDIRECT("'"&amp;$C$1&amp;"'!"&amp;ADDRESS(50,8))</f>
        <v>0</v>
      </c>
    </row>
    <row r="31" spans="1:9" x14ac:dyDescent="0.4">
      <c r="A31" s="43" t="s">
        <v>94</v>
      </c>
      <c r="B31" s="45">
        <f ca="1">INDIRECT("'"&amp;$B$1&amp;"'!"&amp;ADDRESS(33,2))</f>
        <v>0</v>
      </c>
      <c r="C31" s="45">
        <f ca="1">INDIRECT("'"&amp;$C$1&amp;"'!"&amp;ADDRESS(33,2))</f>
        <v>0</v>
      </c>
      <c r="D31" s="45">
        <f t="shared" ca="1" si="5"/>
        <v>0</v>
      </c>
      <c r="E31" s="31"/>
      <c r="F31" s="40"/>
      <c r="H31" s="22">
        <f ca="1">INDIRECT("'"&amp;$B$1&amp;"'!"&amp;ADDRESS(51,5))</f>
        <v>0</v>
      </c>
      <c r="I31" s="23">
        <f ca="1">INDIRECT("'"&amp;$B$1&amp;"'!"&amp;ADDRESS(51,8))-INDIRECT("'"&amp;$C$1&amp;"'!"&amp;ADDRESS(51,8))</f>
        <v>0</v>
      </c>
    </row>
    <row r="32" spans="1:9" x14ac:dyDescent="0.4">
      <c r="A32" s="42" t="s">
        <v>95</v>
      </c>
      <c r="B32" s="44">
        <f ca="1">INDIRECT("'"&amp;$B$1&amp;"'!"&amp;ADDRESS(34,2))</f>
        <v>0</v>
      </c>
      <c r="C32" s="44">
        <f ca="1">INDIRECT("'"&amp;$C$1&amp;"'!"&amp;ADDRESS(34,2))</f>
        <v>0</v>
      </c>
      <c r="D32" s="44">
        <f t="shared" ca="1" si="5"/>
        <v>0</v>
      </c>
      <c r="E32" s="32"/>
      <c r="F32" s="41"/>
      <c r="H32" s="20">
        <f ca="1">INDIRECT("'"&amp;$B$1&amp;"'!"&amp;ADDRESS(52,5))</f>
        <v>0</v>
      </c>
      <c r="I32" s="21">
        <f ca="1">INDIRECT("'"&amp;$B$1&amp;"'!"&amp;ADDRESS(52,8))-INDIRECT("'"&amp;$C$1&amp;"'!"&amp;ADDRESS(52,8))</f>
        <v>0</v>
      </c>
    </row>
    <row r="33" spans="1:9" x14ac:dyDescent="0.4">
      <c r="A33" s="37" t="s">
        <v>96</v>
      </c>
      <c r="B33" s="45">
        <f ca="1">INDIRECT("'"&amp;$B$1&amp;"'!"&amp;ADDRESS(35,2))</f>
        <v>0</v>
      </c>
      <c r="C33" s="45">
        <f ca="1">INDIRECT("'"&amp;$C$1&amp;"'!"&amp;ADDRESS(35,2))</f>
        <v>0</v>
      </c>
      <c r="D33" s="45">
        <f t="shared" ca="1" si="5"/>
        <v>0</v>
      </c>
      <c r="E33" s="31"/>
      <c r="F33" s="40"/>
      <c r="H33" s="22">
        <f ca="1">INDIRECT("'"&amp;$B$1&amp;"'!"&amp;ADDRESS(53,5))</f>
        <v>0</v>
      </c>
      <c r="I33" s="23">
        <f ca="1">INDIRECT("'"&amp;$B$1&amp;"'!"&amp;ADDRESS(53,8))-INDIRECT("'"&amp;$C$1&amp;"'!"&amp;ADDRESS(53,8))</f>
        <v>0</v>
      </c>
    </row>
    <row r="34" spans="1:9" x14ac:dyDescent="0.4">
      <c r="A34" s="36" t="s">
        <v>97</v>
      </c>
      <c r="B34" s="44">
        <f ca="1">INDIRECT("'"&amp;$B$1&amp;"'!"&amp;ADDRESS(36,2))</f>
        <v>0</v>
      </c>
      <c r="C34" s="44">
        <f ca="1">INDIRECT("'"&amp;$C$1&amp;"'!"&amp;ADDRESS(36,2))</f>
        <v>0</v>
      </c>
      <c r="D34" s="44">
        <f t="shared" ca="1" si="5"/>
        <v>0</v>
      </c>
      <c r="E34" s="32"/>
      <c r="F34" s="41"/>
      <c r="H34" s="20">
        <f ca="1">INDIRECT("'"&amp;$B$1&amp;"'!"&amp;ADDRESS(54,5))</f>
        <v>0</v>
      </c>
      <c r="I34" s="21">
        <f ca="1">INDIRECT("'"&amp;$B$1&amp;"'!"&amp;ADDRESS(54,8))-INDIRECT("'"&amp;$C$1&amp;"'!"&amp;ADDRESS(54,8))</f>
        <v>0</v>
      </c>
    </row>
    <row r="35" spans="1:9" x14ac:dyDescent="0.4">
      <c r="A35" s="37" t="s">
        <v>98</v>
      </c>
      <c r="B35" s="45">
        <f ca="1">INDIRECT("'"&amp;$B$1&amp;"'!"&amp;ADDRESS(37,2))</f>
        <v>0</v>
      </c>
      <c r="C35" s="45">
        <f ca="1">INDIRECT("'"&amp;$C$1&amp;"'!"&amp;ADDRESS(37,2))</f>
        <v>0</v>
      </c>
      <c r="D35" s="45"/>
      <c r="E35" s="31"/>
      <c r="F35" s="40"/>
      <c r="H35" s="22">
        <f ca="1">INDIRECT("'"&amp;$B$1&amp;"'!"&amp;ADDRESS(55,5))</f>
        <v>0</v>
      </c>
      <c r="I35" s="23">
        <f ca="1">INDIRECT("'"&amp;$B$1&amp;"'!"&amp;ADDRESS(55,8))-INDIRECT("'"&amp;$C$1&amp;"'!"&amp;ADDRESS(55,8))</f>
        <v>0</v>
      </c>
    </row>
    <row r="36" spans="1:9" x14ac:dyDescent="0.4">
      <c r="A36" s="36" t="s">
        <v>99</v>
      </c>
      <c r="B36" s="44">
        <f ca="1">INDIRECT("'"&amp;$B$1&amp;"'!"&amp;ADDRESS(38,2))</f>
        <v>0</v>
      </c>
      <c r="C36" s="44">
        <f ca="1">INDIRECT("'"&amp;$C$1&amp;"'!"&amp;ADDRESS(38,2))</f>
        <v>0</v>
      </c>
      <c r="D36" s="44"/>
      <c r="E36" s="32"/>
      <c r="F36" s="41"/>
      <c r="H36" s="20">
        <f ca="1">INDIRECT("'"&amp;$B$1&amp;"'!"&amp;ADDRESS(56,5))</f>
        <v>0</v>
      </c>
      <c r="I36" s="21">
        <f ca="1">INDIRECT("'"&amp;$B$1&amp;"'!"&amp;ADDRESS(56,8))-INDIRECT("'"&amp;$C$1&amp;"'!"&amp;ADDRESS(56,8))</f>
        <v>0</v>
      </c>
    </row>
    <row r="37" spans="1:9" x14ac:dyDescent="0.4">
      <c r="A37" s="37" t="s">
        <v>100</v>
      </c>
      <c r="B37" s="45">
        <f ca="1">INDIRECT("'"&amp;$B$1&amp;"'!"&amp;ADDRESS(39,2))</f>
        <v>0</v>
      </c>
      <c r="C37" s="45">
        <f ca="1">INDIRECT("'"&amp;$C$1&amp;"'!"&amp;ADDRESS(39,2))</f>
        <v>0</v>
      </c>
      <c r="D37" s="45"/>
      <c r="E37" s="31"/>
      <c r="F37" s="40"/>
      <c r="H37" s="22">
        <f ca="1">INDIRECT("'"&amp;$B$1&amp;"'!"&amp;ADDRESS(57,5))</f>
        <v>0</v>
      </c>
      <c r="I37" s="23">
        <f ca="1">INDIRECT("'"&amp;$B$1&amp;"'!"&amp;ADDRESS(57,8))-INDIRECT("'"&amp;$C$1&amp;"'!"&amp;ADDRESS(57,8))</f>
        <v>0</v>
      </c>
    </row>
    <row r="38" spans="1:9" x14ac:dyDescent="0.4">
      <c r="A38" s="33" t="s">
        <v>101</v>
      </c>
      <c r="B38" s="48">
        <f ca="1">INDIRECT("'"&amp;$B$1&amp;"'!"&amp;ADDRESS(40,2))</f>
        <v>0</v>
      </c>
      <c r="C38" s="48">
        <f ca="1">INDIRECT("'"&amp;$C$1&amp;"'!"&amp;ADDRESS(40,2))</f>
        <v>0</v>
      </c>
      <c r="D38" s="48"/>
      <c r="E38" s="34"/>
      <c r="F38" s="35"/>
      <c r="H38" s="20">
        <f ca="1">INDIRECT("'"&amp;$B$1&amp;"'!"&amp;ADDRESS(58,5))</f>
        <v>0</v>
      </c>
      <c r="I38" s="21">
        <f ca="1">INDIRECT("'"&amp;$B$1&amp;"'!"&amp;ADDRESS(58,8))-INDIRECT("'"&amp;$C$1&amp;"'!"&amp;ADDRESS(58,8))</f>
        <v>0</v>
      </c>
    </row>
    <row r="39" spans="1:9" x14ac:dyDescent="0.4">
      <c r="H39" s="22">
        <f ca="1">INDIRECT("'"&amp;$B$1&amp;"'!"&amp;ADDRESS(59,5))</f>
        <v>0</v>
      </c>
      <c r="I39" s="23">
        <f ca="1">INDIRECT("'"&amp;$B$1&amp;"'!"&amp;ADDRESS(59,8))-INDIRECT("'"&amp;$C$1&amp;"'!"&amp;ADDRESS(59,8))</f>
        <v>0</v>
      </c>
    </row>
    <row r="40" spans="1:9" x14ac:dyDescent="0.4">
      <c r="H40" s="20">
        <f ca="1">INDIRECT("'"&amp;$B$1&amp;"'!"&amp;ADDRESS(60,5))</f>
        <v>0</v>
      </c>
      <c r="I40" s="21">
        <f ca="1">INDIRECT("'"&amp;$B$1&amp;"'!"&amp;ADDRESS(60,8))-INDIRECT("'"&amp;$C$1&amp;"'!"&amp;ADDRESS(60,8))</f>
        <v>0</v>
      </c>
    </row>
    <row r="41" spans="1:9" x14ac:dyDescent="0.4">
      <c r="H41" s="22">
        <f ca="1">INDIRECT("'"&amp;$B$1&amp;"'!"&amp;ADDRESS(61,5))</f>
        <v>0</v>
      </c>
      <c r="I41" s="23">
        <f ca="1">INDIRECT("'"&amp;$B$1&amp;"'!"&amp;ADDRESS(61,8))-INDIRECT("'"&amp;$C$1&amp;"'!"&amp;ADDRESS(61,8))</f>
        <v>0</v>
      </c>
    </row>
    <row r="42" spans="1:9" x14ac:dyDescent="0.4">
      <c r="H42" s="20">
        <f ca="1">INDIRECT("'"&amp;$B$1&amp;"'!"&amp;ADDRESS(62,5))</f>
        <v>0</v>
      </c>
      <c r="I42" s="21">
        <f ca="1">INDIRECT("'"&amp;$B$1&amp;"'!"&amp;ADDRESS(62,8))-INDIRECT("'"&amp;$C$1&amp;"'!"&amp;ADDRESS(62,8))</f>
        <v>0</v>
      </c>
    </row>
    <row r="43" spans="1:9" x14ac:dyDescent="0.4">
      <c r="H43" s="22">
        <f ca="1">INDIRECT("'"&amp;$B$1&amp;"'!"&amp;ADDRESS(63,5))</f>
        <v>0</v>
      </c>
      <c r="I43" s="23">
        <f ca="1">INDIRECT("'"&amp;$B$1&amp;"'!"&amp;ADDRESS(63,8))-INDIRECT("'"&amp;$C$1&amp;"'!"&amp;ADDRESS(63,8))</f>
        <v>0</v>
      </c>
    </row>
    <row r="44" spans="1:9" x14ac:dyDescent="0.4">
      <c r="H44" s="20">
        <f ca="1">INDIRECT("'"&amp;$B$1&amp;"'!"&amp;ADDRESS(64,5))</f>
        <v>0</v>
      </c>
      <c r="I44" s="21">
        <f ca="1">INDIRECT("'"&amp;$B$1&amp;"'!"&amp;ADDRESS(64,8))-INDIRECT("'"&amp;$C$1&amp;"'!"&amp;ADDRESS(64,8))</f>
        <v>0</v>
      </c>
    </row>
    <row r="45" spans="1:9" x14ac:dyDescent="0.4">
      <c r="H45" s="22">
        <f ca="1">INDIRECT("'"&amp;$B$1&amp;"'!"&amp;ADDRESS(65,5))</f>
        <v>0</v>
      </c>
      <c r="I45" s="23">
        <f ca="1">INDIRECT("'"&amp;$B$1&amp;"'!"&amp;ADDRESS(65,8))-INDIRECT("'"&amp;$C$1&amp;"'!"&amp;ADDRESS(65,8))</f>
        <v>0</v>
      </c>
    </row>
    <row r="46" spans="1:9" x14ac:dyDescent="0.4">
      <c r="H46" s="20">
        <f ca="1">INDIRECT("'"&amp;$B$1&amp;"'!"&amp;ADDRESS(66,5))</f>
        <v>0</v>
      </c>
      <c r="I46" s="21">
        <f ca="1">INDIRECT("'"&amp;$B$1&amp;"'!"&amp;ADDRESS(66,8))-INDIRECT("'"&amp;$C$1&amp;"'!"&amp;ADDRESS(66,8))</f>
        <v>0</v>
      </c>
    </row>
    <row r="47" spans="1:9" x14ac:dyDescent="0.4">
      <c r="H47" s="22">
        <f ca="1">INDIRECT("'"&amp;$B$1&amp;"'!"&amp;ADDRESS(67,5))</f>
        <v>0</v>
      </c>
      <c r="I47" s="23">
        <f ca="1">INDIRECT("'"&amp;$B$1&amp;"'!"&amp;ADDRESS(67,8))-INDIRECT("'"&amp;$C$1&amp;"'!"&amp;ADDRESS(67,8))</f>
        <v>0</v>
      </c>
    </row>
    <row r="48" spans="1:9" x14ac:dyDescent="0.4">
      <c r="H48" s="20">
        <f ca="1">INDIRECT("'"&amp;$B$1&amp;"'!"&amp;ADDRESS(68,5))</f>
        <v>0</v>
      </c>
      <c r="I48" s="21">
        <f ca="1">INDIRECT("'"&amp;$B$1&amp;"'!"&amp;ADDRESS(68,8))-INDIRECT("'"&amp;$C$1&amp;"'!"&amp;ADDRESS(68,8))</f>
        <v>0</v>
      </c>
    </row>
    <row r="49" spans="8:9" x14ac:dyDescent="0.4">
      <c r="H49" s="22">
        <f ca="1">INDIRECT("'"&amp;$B$1&amp;"'!"&amp;ADDRESS(69,5))</f>
        <v>0</v>
      </c>
      <c r="I49" s="23">
        <f ca="1">INDIRECT("'"&amp;$B$1&amp;"'!"&amp;ADDRESS(69,8))-INDIRECT("'"&amp;$C$1&amp;"'!"&amp;ADDRESS(69,8))</f>
        <v>0</v>
      </c>
    </row>
    <row r="50" spans="8:9" x14ac:dyDescent="0.4">
      <c r="H50" s="20">
        <f ca="1">INDIRECT("'"&amp;$B$1&amp;"'!"&amp;ADDRESS(70,5))</f>
        <v>0</v>
      </c>
      <c r="I50" s="21">
        <f ca="1">INDIRECT("'"&amp;$B$1&amp;"'!"&amp;ADDRESS(70,8))-INDIRECT("'"&amp;$C$1&amp;"'!"&amp;ADDRESS(70,8))</f>
        <v>0</v>
      </c>
    </row>
    <row r="51" spans="8:9" x14ac:dyDescent="0.4">
      <c r="H51" s="22">
        <f ca="1">INDIRECT("'"&amp;$B$1&amp;"'!"&amp;ADDRESS(71,5))</f>
        <v>0</v>
      </c>
      <c r="I51" s="23">
        <f ca="1">INDIRECT("'"&amp;$B$1&amp;"'!"&amp;ADDRESS(71,8))-INDIRECT("'"&amp;$C$1&amp;"'!"&amp;ADDRESS(71,8))</f>
        <v>0</v>
      </c>
    </row>
    <row r="52" spans="8:9" x14ac:dyDescent="0.4">
      <c r="H52" s="20">
        <f ca="1">INDIRECT("'"&amp;$B$1&amp;"'!"&amp;ADDRESS(72,5))</f>
        <v>0</v>
      </c>
      <c r="I52" s="21">
        <f ca="1">INDIRECT("'"&amp;$B$1&amp;"'!"&amp;ADDRESS(72,8))-INDIRECT("'"&amp;$C$1&amp;"'!"&amp;ADDRESS(72,8))</f>
        <v>0</v>
      </c>
    </row>
    <row r="53" spans="8:9" x14ac:dyDescent="0.4">
      <c r="H53" s="22">
        <f ca="1">INDIRECT("'"&amp;$B$1&amp;"'!"&amp;ADDRESS(73,5))</f>
        <v>0</v>
      </c>
      <c r="I53" s="23">
        <f ca="1">INDIRECT("'"&amp;$B$1&amp;"'!"&amp;ADDRESS(73,8))-INDIRECT("'"&amp;$C$1&amp;"'!"&amp;ADDRESS(73,8))</f>
        <v>0</v>
      </c>
    </row>
    <row r="54" spans="8:9" x14ac:dyDescent="0.4">
      <c r="H54" s="20">
        <f ca="1">INDIRECT("'"&amp;$B$1&amp;"'!"&amp;ADDRESS(74,5))</f>
        <v>0</v>
      </c>
      <c r="I54" s="21">
        <f ca="1">INDIRECT("'"&amp;$B$1&amp;"'!"&amp;ADDRESS(74,8))-INDIRECT("'"&amp;$C$1&amp;"'!"&amp;ADDRESS(74,8))</f>
        <v>0</v>
      </c>
    </row>
    <row r="55" spans="8:9" x14ac:dyDescent="0.4">
      <c r="H55" s="22">
        <f ca="1">INDIRECT("'"&amp;$B$1&amp;"'!"&amp;ADDRESS(75,5))</f>
        <v>0</v>
      </c>
      <c r="I55" s="23">
        <f ca="1">INDIRECT("'"&amp;$B$1&amp;"'!"&amp;ADDRESS(75,8))-INDIRECT("'"&amp;$C$1&amp;"'!"&amp;ADDRESS(75,8))</f>
        <v>0</v>
      </c>
    </row>
    <row r="56" spans="8:9" x14ac:dyDescent="0.4">
      <c r="H56" s="20">
        <f ca="1">INDIRECT("'"&amp;$B$1&amp;"'!"&amp;ADDRESS(76,5))</f>
        <v>0</v>
      </c>
      <c r="I56" s="21">
        <f ca="1">INDIRECT("'"&amp;$B$1&amp;"'!"&amp;ADDRESS(76,8))-INDIRECT("'"&amp;$C$1&amp;"'!"&amp;ADDRESS(76,8))</f>
        <v>0</v>
      </c>
    </row>
    <row r="57" spans="8:9" x14ac:dyDescent="0.4">
      <c r="H57" s="22">
        <f ca="1">INDIRECT("'"&amp;$B$1&amp;"'!"&amp;ADDRESS(77,5))</f>
        <v>0</v>
      </c>
      <c r="I57" s="23">
        <f ca="1">INDIRECT("'"&amp;$B$1&amp;"'!"&amp;ADDRESS(77,8))-INDIRECT("'"&amp;$C$1&amp;"'!"&amp;ADDRESS(77,8))</f>
        <v>0</v>
      </c>
    </row>
    <row r="58" spans="8:9" x14ac:dyDescent="0.4">
      <c r="H58" s="20">
        <f ca="1">INDIRECT("'"&amp;$B$1&amp;"'!"&amp;ADDRESS(78,5))</f>
        <v>0</v>
      </c>
      <c r="I58" s="21">
        <f ca="1">INDIRECT("'"&amp;$B$1&amp;"'!"&amp;ADDRESS(78,8))-INDIRECT("'"&amp;$C$1&amp;"'!"&amp;ADDRESS(78,8))</f>
        <v>0</v>
      </c>
    </row>
    <row r="59" spans="8:9" x14ac:dyDescent="0.4">
      <c r="H59" s="22">
        <f ca="1">INDIRECT("'"&amp;$B$1&amp;"'!"&amp;ADDRESS(79,5))</f>
        <v>0</v>
      </c>
      <c r="I59" s="23">
        <f ca="1">INDIRECT("'"&amp;$B$1&amp;"'!"&amp;ADDRESS(79,8))-INDIRECT("'"&amp;$C$1&amp;"'!"&amp;ADDRESS(79,8))</f>
        <v>0</v>
      </c>
    </row>
    <row r="60" spans="8:9" x14ac:dyDescent="0.4">
      <c r="H60" s="20">
        <f ca="1">INDIRECT("'"&amp;$B$1&amp;"'!"&amp;ADDRESS(80,5))</f>
        <v>0</v>
      </c>
      <c r="I60" s="21">
        <f ca="1">INDIRECT("'"&amp;$B$1&amp;"'!"&amp;ADDRESS(80,8))-INDIRECT("'"&amp;$C$1&amp;"'!"&amp;ADDRESS(80,8))</f>
        <v>0</v>
      </c>
    </row>
    <row r="61" spans="8:9" x14ac:dyDescent="0.4">
      <c r="H61" s="22">
        <f ca="1">INDIRECT("'"&amp;$B$1&amp;"'!"&amp;ADDRESS(81,5))</f>
        <v>0</v>
      </c>
      <c r="I61" s="23">
        <f ca="1">INDIRECT("'"&amp;$B$1&amp;"'!"&amp;ADDRESS(81,8))-INDIRECT("'"&amp;$C$1&amp;"'!"&amp;ADDRESS(81,8))</f>
        <v>0</v>
      </c>
    </row>
    <row r="62" spans="8:9" x14ac:dyDescent="0.4">
      <c r="H62" s="20">
        <f ca="1">INDIRECT("'"&amp;$B$1&amp;"'!"&amp;ADDRESS(82,5))</f>
        <v>0</v>
      </c>
      <c r="I62" s="21">
        <f ca="1">INDIRECT("'"&amp;$B$1&amp;"'!"&amp;ADDRESS(82,8))-INDIRECT("'"&amp;$C$1&amp;"'!"&amp;ADDRESS(82,8))</f>
        <v>0</v>
      </c>
    </row>
    <row r="63" spans="8:9" x14ac:dyDescent="0.4">
      <c r="H63" s="24">
        <f ca="1">INDIRECT("'"&amp;$B$1&amp;"'!"&amp;ADDRESS(83,5))</f>
        <v>0</v>
      </c>
      <c r="I63" s="25">
        <f ca="1">INDIRECT("'"&amp;$B$1&amp;"'!"&amp;ADDRESS(83,8))-INDIRECT("'"&amp;$C$1&amp;"'!"&amp;ADDRESS(83,8))</f>
        <v>0</v>
      </c>
    </row>
    <row r="100" spans="1:2" x14ac:dyDescent="0.4">
      <c r="B100" t="s">
        <v>148</v>
      </c>
    </row>
    <row r="101" spans="1:2" x14ac:dyDescent="0.4">
      <c r="A101" t="s">
        <v>147</v>
      </c>
      <c r="B101" t="s">
        <v>148</v>
      </c>
    </row>
    <row r="102" spans="1:2" x14ac:dyDescent="0.4">
      <c r="A102" t="s">
        <v>149</v>
      </c>
      <c r="B102" t="s">
        <v>148</v>
      </c>
    </row>
    <row r="103" spans="1:2" x14ac:dyDescent="0.4">
      <c r="A103" t="s">
        <v>150</v>
      </c>
      <c r="B103" t="s">
        <v>148</v>
      </c>
    </row>
    <row r="104" spans="1:2" x14ac:dyDescent="0.4">
      <c r="A104" t="s">
        <v>151</v>
      </c>
      <c r="B104" t="s">
        <v>148</v>
      </c>
    </row>
    <row r="105" spans="1:2" x14ac:dyDescent="0.4">
      <c r="A105" t="s">
        <v>152</v>
      </c>
      <c r="B105">
        <v>1049500</v>
      </c>
    </row>
    <row r="106" spans="1:2" x14ac:dyDescent="0.4">
      <c r="A106" t="s">
        <v>73</v>
      </c>
      <c r="B106">
        <v>625358</v>
      </c>
    </row>
    <row r="107" spans="1:2" x14ac:dyDescent="0.4">
      <c r="A107" t="s">
        <v>74</v>
      </c>
      <c r="B107">
        <v>1072000</v>
      </c>
    </row>
    <row r="108" spans="1:2" x14ac:dyDescent="0.4">
      <c r="A108" t="s">
        <v>76</v>
      </c>
      <c r="B108">
        <v>1487275</v>
      </c>
    </row>
    <row r="109" spans="1:2" x14ac:dyDescent="0.4">
      <c r="A109" t="s">
        <v>77</v>
      </c>
      <c r="B109">
        <v>213000</v>
      </c>
    </row>
    <row r="110" spans="1:2" x14ac:dyDescent="0.4">
      <c r="A110" t="s">
        <v>153</v>
      </c>
    </row>
  </sheetData>
  <phoneticPr fontId="1"/>
  <conditionalFormatting sqref="H2:H63">
    <cfRule type="expression" dxfId="1" priority="2">
      <formula>LEN(TRIM(H2))=0</formula>
    </cfRule>
  </conditionalFormatting>
  <conditionalFormatting sqref="C2:C38">
    <cfRule type="expression" dxfId="0" priority="1">
      <formula>$B2&lt;&gt;$C2</formula>
    </cfRule>
  </conditionalFormatting>
  <dataValidations count="1">
    <dataValidation type="list" allowBlank="1" showInputMessage="1" showErrorMessage="1" sqref="D1:E1" xr:uid="{1CDB873E-D5AB-4584-86F3-B8D6D85956AE}">
      <formula1>$N$2:$N$11</formula1>
    </dataValidation>
  </dataValidations>
  <pageMargins left="0.7" right="0.7" top="0.75" bottom="0.75" header="0.3" footer="0.3"/>
  <pageSetup paperSize="9" scale="73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6E59E7-A047-4F6D-88BA-6BAA5E0264AB}">
          <x14:formula1>
            <xm:f>OFFSET(クリア!$CA$1,0,0,COUNTA(クリア!$CA:$CA),1)</xm:f>
          </x14:formula1>
          <xm:sqref>B1:C1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5A628-F7B9-45C6-9F06-9BBEBD008F6B}">
  <sheetPr codeName="Sheet4"/>
  <dimension ref="B1:CE162"/>
  <sheetViews>
    <sheetView topLeftCell="BQ1" workbookViewId="0">
      <selection activeCell="BS5" sqref="BS5"/>
    </sheetView>
  </sheetViews>
  <sheetFormatPr defaultRowHeight="18.75" x14ac:dyDescent="0.4"/>
  <cols>
    <col min="82" max="82" width="10.25" bestFit="1" customWidth="1"/>
  </cols>
  <sheetData>
    <row r="1" spans="79:83" x14ac:dyDescent="0.4">
      <c r="CA1" t="s">
        <v>155</v>
      </c>
      <c r="CB1">
        <v>172.5</v>
      </c>
      <c r="CD1" t="s">
        <v>172</v>
      </c>
    </row>
    <row r="2" spans="79:83" x14ac:dyDescent="0.4">
      <c r="CA2" t="s">
        <v>171</v>
      </c>
      <c r="CB2">
        <v>132</v>
      </c>
      <c r="CD2" t="s">
        <v>173</v>
      </c>
      <c r="CE2" t="s">
        <v>174</v>
      </c>
    </row>
    <row r="3" spans="79:83" x14ac:dyDescent="0.4">
      <c r="CA3" t="s">
        <v>102</v>
      </c>
      <c r="CE3" t="s">
        <v>175</v>
      </c>
    </row>
    <row r="4" spans="79:83" x14ac:dyDescent="0.4">
      <c r="CE4" t="s">
        <v>178</v>
      </c>
    </row>
    <row r="5" spans="79:83" x14ac:dyDescent="0.4">
      <c r="CE5" t="s">
        <v>179</v>
      </c>
    </row>
    <row r="99" spans="2:11" x14ac:dyDescent="0.4">
      <c r="B99" s="1" t="s">
        <v>0</v>
      </c>
      <c r="C99" s="2" t="s">
        <v>1</v>
      </c>
      <c r="D99" s="3" t="s">
        <v>66</v>
      </c>
      <c r="E99" s="1" t="s">
        <v>67</v>
      </c>
      <c r="G99" s="1"/>
      <c r="H99" s="1"/>
      <c r="I99" s="1" t="s">
        <v>107</v>
      </c>
      <c r="J99" s="1" t="s">
        <v>108</v>
      </c>
      <c r="K99" s="1" t="s">
        <v>109</v>
      </c>
    </row>
    <row r="100" spans="2:11" x14ac:dyDescent="0.4">
      <c r="B100" s="4" t="s">
        <v>2</v>
      </c>
      <c r="C100" s="4" t="s">
        <v>3</v>
      </c>
      <c r="D100" s="4"/>
      <c r="E100" s="4"/>
      <c r="G100" s="1" t="s">
        <v>111</v>
      </c>
      <c r="H100" s="1" t="s">
        <v>110</v>
      </c>
      <c r="I100" s="1">
        <v>54.5</v>
      </c>
      <c r="J100" s="1">
        <v>54.5</v>
      </c>
      <c r="K100" s="1">
        <v>0</v>
      </c>
    </row>
    <row r="101" spans="2:11" x14ac:dyDescent="0.4">
      <c r="B101" s="4" t="s">
        <v>68</v>
      </c>
      <c r="C101" s="4" t="s">
        <v>4</v>
      </c>
      <c r="D101" s="4"/>
      <c r="E101" s="4"/>
      <c r="G101" s="1" t="s">
        <v>111</v>
      </c>
      <c r="H101" s="1" t="s">
        <v>112</v>
      </c>
      <c r="I101" s="1">
        <v>27.2</v>
      </c>
      <c r="J101" s="1">
        <v>27.2</v>
      </c>
      <c r="K101" s="1">
        <v>0</v>
      </c>
    </row>
    <row r="102" spans="2:11" x14ac:dyDescent="0.4">
      <c r="B102" s="4" t="s">
        <v>5</v>
      </c>
      <c r="C102" s="4" t="s">
        <v>69</v>
      </c>
      <c r="D102" s="4"/>
      <c r="E102" s="4"/>
      <c r="G102" s="1" t="s">
        <v>111</v>
      </c>
      <c r="H102" s="1" t="s">
        <v>113</v>
      </c>
      <c r="I102" s="1">
        <v>16.5</v>
      </c>
      <c r="J102" s="1">
        <v>16.5</v>
      </c>
      <c r="K102" s="1">
        <v>0</v>
      </c>
    </row>
    <row r="103" spans="2:11" x14ac:dyDescent="0.4">
      <c r="B103" s="5" t="s">
        <v>6</v>
      </c>
      <c r="C103" s="5" t="s">
        <v>13</v>
      </c>
      <c r="D103" s="5">
        <v>8</v>
      </c>
      <c r="E103" s="4">
        <v>2</v>
      </c>
      <c r="G103" s="1" t="s">
        <v>115</v>
      </c>
      <c r="H103" s="1" t="s">
        <v>110</v>
      </c>
      <c r="I103" s="1">
        <v>63.4</v>
      </c>
      <c r="J103" s="1">
        <v>63.4</v>
      </c>
      <c r="K103" s="1">
        <v>0</v>
      </c>
    </row>
    <row r="104" spans="2:11" x14ac:dyDescent="0.4">
      <c r="B104" s="4" t="s">
        <v>14</v>
      </c>
      <c r="C104" s="5" t="s">
        <v>206</v>
      </c>
      <c r="D104" s="5">
        <v>3</v>
      </c>
      <c r="E104" s="4">
        <v>2</v>
      </c>
      <c r="G104" s="1" t="s">
        <v>115</v>
      </c>
      <c r="H104" s="1" t="s">
        <v>112</v>
      </c>
      <c r="I104" s="1">
        <v>32.6</v>
      </c>
      <c r="J104" s="1">
        <v>32.6</v>
      </c>
      <c r="K104" s="1">
        <v>0</v>
      </c>
    </row>
    <row r="105" spans="2:11" x14ac:dyDescent="0.4">
      <c r="B105" s="4" t="s">
        <v>15</v>
      </c>
      <c r="C105" s="5" t="s">
        <v>207</v>
      </c>
      <c r="D105" s="5">
        <v>29</v>
      </c>
      <c r="E105" s="4">
        <v>2</v>
      </c>
      <c r="G105" s="1" t="s">
        <v>115</v>
      </c>
      <c r="H105" s="1" t="s">
        <v>113</v>
      </c>
      <c r="I105" s="1">
        <v>18</v>
      </c>
      <c r="J105" s="1">
        <v>18</v>
      </c>
      <c r="K105" s="1">
        <v>0</v>
      </c>
    </row>
    <row r="106" spans="2:11" x14ac:dyDescent="0.4">
      <c r="B106" s="5" t="s">
        <v>16</v>
      </c>
      <c r="C106" s="5" t="s">
        <v>208</v>
      </c>
      <c r="D106" s="5">
        <v>14</v>
      </c>
      <c r="E106" s="4">
        <v>2</v>
      </c>
      <c r="G106" s="1" t="s">
        <v>115</v>
      </c>
      <c r="H106" s="1" t="s">
        <v>191</v>
      </c>
      <c r="I106" s="1">
        <v>2.1</v>
      </c>
      <c r="J106" s="1">
        <v>2.1</v>
      </c>
      <c r="K106" s="1">
        <v>0</v>
      </c>
    </row>
    <row r="107" spans="2:11" x14ac:dyDescent="0.4">
      <c r="B107" s="4" t="s">
        <v>17</v>
      </c>
      <c r="C107" s="4" t="s">
        <v>209</v>
      </c>
      <c r="D107" s="5"/>
      <c r="E107" s="4"/>
      <c r="G107" s="1" t="s">
        <v>115</v>
      </c>
      <c r="H107" s="1" t="s">
        <v>114</v>
      </c>
      <c r="I107" s="1">
        <v>0.8</v>
      </c>
      <c r="J107" s="1">
        <v>0.8</v>
      </c>
      <c r="K107" s="1">
        <v>0</v>
      </c>
    </row>
    <row r="108" spans="2:11" x14ac:dyDescent="0.4">
      <c r="B108" s="4" t="s">
        <v>7</v>
      </c>
      <c r="C108" s="4" t="s">
        <v>209</v>
      </c>
      <c r="D108" s="5">
        <v>16</v>
      </c>
      <c r="E108" s="4">
        <v>2</v>
      </c>
      <c r="G108" s="1" t="s">
        <v>116</v>
      </c>
      <c r="H108" s="1" t="s">
        <v>110</v>
      </c>
      <c r="I108" s="1">
        <v>63.4</v>
      </c>
      <c r="J108" s="1">
        <v>63.4</v>
      </c>
      <c r="K108" s="1">
        <v>0</v>
      </c>
    </row>
    <row r="109" spans="2:11" x14ac:dyDescent="0.4">
      <c r="B109" s="4" t="s">
        <v>18</v>
      </c>
      <c r="C109" s="4" t="s">
        <v>210</v>
      </c>
      <c r="D109" s="4"/>
      <c r="E109" s="4"/>
      <c r="G109" s="1" t="s">
        <v>116</v>
      </c>
      <c r="H109" s="1" t="s">
        <v>112</v>
      </c>
      <c r="I109" s="1">
        <v>32.6</v>
      </c>
      <c r="J109" s="1">
        <v>32.6</v>
      </c>
      <c r="K109" s="1">
        <v>0</v>
      </c>
    </row>
    <row r="110" spans="2:11" x14ac:dyDescent="0.4">
      <c r="B110" s="4" t="s">
        <v>19</v>
      </c>
      <c r="C110" s="4" t="s">
        <v>211</v>
      </c>
      <c r="D110" s="5">
        <v>37</v>
      </c>
      <c r="E110" s="4">
        <v>2</v>
      </c>
      <c r="G110" s="1" t="s">
        <v>116</v>
      </c>
      <c r="H110" s="1" t="s">
        <v>113</v>
      </c>
      <c r="I110" s="1">
        <v>18</v>
      </c>
      <c r="J110" s="1">
        <v>18</v>
      </c>
      <c r="K110" s="1">
        <v>0</v>
      </c>
    </row>
    <row r="111" spans="2:11" x14ac:dyDescent="0.4">
      <c r="B111" s="4" t="s">
        <v>8</v>
      </c>
      <c r="C111" s="4" t="s">
        <v>212</v>
      </c>
      <c r="D111" s="5">
        <v>38</v>
      </c>
      <c r="E111" s="4">
        <v>2</v>
      </c>
      <c r="G111" s="1" t="s">
        <v>116</v>
      </c>
      <c r="H111" s="1" t="s">
        <v>192</v>
      </c>
      <c r="I111" s="1">
        <v>2.1</v>
      </c>
      <c r="J111" s="1">
        <v>2.1</v>
      </c>
      <c r="K111" s="1">
        <v>0</v>
      </c>
    </row>
    <row r="112" spans="2:11" x14ac:dyDescent="0.4">
      <c r="B112" s="5" t="s">
        <v>20</v>
      </c>
      <c r="C112" s="5" t="s">
        <v>213</v>
      </c>
      <c r="D112" s="5">
        <v>39</v>
      </c>
      <c r="E112" s="4">
        <v>2</v>
      </c>
      <c r="G112" s="1" t="s">
        <v>116</v>
      </c>
      <c r="H112" s="1" t="s">
        <v>117</v>
      </c>
      <c r="I112" s="1">
        <v>0.8</v>
      </c>
      <c r="J112" s="1">
        <v>0.8</v>
      </c>
      <c r="K112" s="1">
        <v>0</v>
      </c>
    </row>
    <row r="113" spans="2:11" x14ac:dyDescent="0.4">
      <c r="B113" s="4" t="s">
        <v>9</v>
      </c>
      <c r="C113" s="4" t="s">
        <v>214</v>
      </c>
      <c r="D113" s="5">
        <v>40</v>
      </c>
      <c r="E113" s="4">
        <v>2</v>
      </c>
      <c r="G113" s="1" t="s">
        <v>118</v>
      </c>
      <c r="H113" s="1" t="s">
        <v>119</v>
      </c>
      <c r="I113" s="1">
        <v>-5.5</v>
      </c>
      <c r="J113" s="1">
        <v>-5.5</v>
      </c>
      <c r="K113" s="1">
        <v>0</v>
      </c>
    </row>
    <row r="114" spans="2:11" x14ac:dyDescent="0.4">
      <c r="B114" s="4" t="s">
        <v>21</v>
      </c>
      <c r="C114" s="4" t="s">
        <v>22</v>
      </c>
      <c r="D114" s="4"/>
      <c r="E114" s="6"/>
      <c r="G114" s="1" t="s">
        <v>118</v>
      </c>
      <c r="H114" s="1" t="s">
        <v>120</v>
      </c>
      <c r="I114" s="1">
        <v>-2.8</v>
      </c>
      <c r="J114" s="1">
        <v>-2.8</v>
      </c>
      <c r="K114" s="1">
        <v>0</v>
      </c>
    </row>
    <row r="115" spans="2:11" x14ac:dyDescent="0.4">
      <c r="B115" s="4" t="s">
        <v>23</v>
      </c>
      <c r="C115" s="5" t="s">
        <v>24</v>
      </c>
      <c r="D115" s="4"/>
      <c r="E115" s="4"/>
      <c r="G115" s="1" t="s">
        <v>121</v>
      </c>
      <c r="H115" s="1" t="s">
        <v>110</v>
      </c>
      <c r="I115" s="1">
        <v>42.9</v>
      </c>
      <c r="J115" s="1">
        <v>42.9</v>
      </c>
      <c r="K115" s="1">
        <v>0</v>
      </c>
    </row>
    <row r="116" spans="2:11" x14ac:dyDescent="0.4">
      <c r="B116" s="4" t="s">
        <v>25</v>
      </c>
      <c r="C116" s="4" t="s">
        <v>26</v>
      </c>
      <c r="D116" s="5"/>
      <c r="E116" s="4"/>
      <c r="G116" s="1" t="s">
        <v>121</v>
      </c>
      <c r="H116" s="1" t="s">
        <v>112</v>
      </c>
      <c r="I116" s="1">
        <v>24.3</v>
      </c>
      <c r="J116" s="1">
        <v>24.3</v>
      </c>
      <c r="K116" s="1">
        <v>0</v>
      </c>
    </row>
    <row r="117" spans="2:11" x14ac:dyDescent="0.4">
      <c r="B117" s="7" t="s">
        <v>27</v>
      </c>
      <c r="C117" s="4" t="s">
        <v>215</v>
      </c>
      <c r="D117" s="4">
        <v>12</v>
      </c>
      <c r="E117" s="5">
        <v>6</v>
      </c>
      <c r="G117" s="1" t="s">
        <v>121</v>
      </c>
      <c r="H117" s="1" t="s">
        <v>113</v>
      </c>
      <c r="I117" s="1">
        <v>12</v>
      </c>
      <c r="J117" s="1">
        <v>12</v>
      </c>
      <c r="K117" s="1">
        <v>0</v>
      </c>
    </row>
    <row r="118" spans="2:11" x14ac:dyDescent="0.4">
      <c r="B118" s="7" t="s">
        <v>28</v>
      </c>
      <c r="C118" s="4" t="s">
        <v>216</v>
      </c>
      <c r="D118" s="4">
        <v>13</v>
      </c>
      <c r="E118" s="5">
        <v>6</v>
      </c>
      <c r="G118" s="1" t="s">
        <v>123</v>
      </c>
      <c r="H118" s="1" t="s">
        <v>110</v>
      </c>
      <c r="I118" s="1">
        <v>43.4</v>
      </c>
      <c r="J118" s="1">
        <v>43.4</v>
      </c>
      <c r="K118" s="1">
        <v>0</v>
      </c>
    </row>
    <row r="119" spans="2:11" x14ac:dyDescent="0.4">
      <c r="B119" s="8" t="s">
        <v>29</v>
      </c>
      <c r="C119" s="4" t="s">
        <v>217</v>
      </c>
      <c r="D119" s="4">
        <v>2</v>
      </c>
      <c r="E119" s="4">
        <v>7</v>
      </c>
      <c r="G119" s="1" t="s">
        <v>123</v>
      </c>
      <c r="H119" s="1" t="s">
        <v>112</v>
      </c>
      <c r="I119" s="1">
        <v>24.5</v>
      </c>
      <c r="J119" s="1">
        <v>24.5</v>
      </c>
      <c r="K119" s="1">
        <v>0</v>
      </c>
    </row>
    <row r="120" spans="2:11" x14ac:dyDescent="0.4">
      <c r="B120" s="8" t="s">
        <v>30</v>
      </c>
      <c r="C120" s="4" t="s">
        <v>218</v>
      </c>
      <c r="D120" s="4"/>
      <c r="E120" s="4"/>
      <c r="G120" s="1" t="s">
        <v>123</v>
      </c>
      <c r="H120" s="1" t="s">
        <v>113</v>
      </c>
      <c r="I120" s="1">
        <v>12</v>
      </c>
      <c r="J120" s="1">
        <v>12</v>
      </c>
      <c r="K120" s="1">
        <v>0</v>
      </c>
    </row>
    <row r="121" spans="2:11" x14ac:dyDescent="0.4">
      <c r="B121" s="8" t="s">
        <v>31</v>
      </c>
      <c r="C121" s="4" t="s">
        <v>219</v>
      </c>
      <c r="D121" s="4">
        <v>3</v>
      </c>
      <c r="E121" s="4">
        <v>7</v>
      </c>
      <c r="G121" s="1" t="s">
        <v>124</v>
      </c>
      <c r="H121" s="1" t="s">
        <v>110</v>
      </c>
      <c r="I121" s="1">
        <v>4</v>
      </c>
      <c r="J121" s="1">
        <v>4</v>
      </c>
      <c r="K121" s="1">
        <v>0</v>
      </c>
    </row>
    <row r="122" spans="2:11" x14ac:dyDescent="0.4">
      <c r="B122" s="8" t="s">
        <v>32</v>
      </c>
      <c r="C122" s="4" t="s">
        <v>220</v>
      </c>
      <c r="D122" s="4">
        <v>4</v>
      </c>
      <c r="E122" s="4">
        <v>7</v>
      </c>
      <c r="G122" s="1" t="s">
        <v>124</v>
      </c>
      <c r="H122" s="1" t="s">
        <v>112</v>
      </c>
      <c r="I122" s="1">
        <v>2.5</v>
      </c>
      <c r="J122" s="1">
        <v>2.5</v>
      </c>
      <c r="K122" s="1">
        <v>0</v>
      </c>
    </row>
    <row r="123" spans="2:11" x14ac:dyDescent="0.4">
      <c r="B123" s="8" t="s">
        <v>33</v>
      </c>
      <c r="C123" s="4" t="s">
        <v>221</v>
      </c>
      <c r="D123" s="4"/>
      <c r="E123" s="4"/>
      <c r="G123" s="1" t="s">
        <v>125</v>
      </c>
      <c r="H123" s="1" t="s">
        <v>110</v>
      </c>
      <c r="I123" s="1">
        <v>40.1</v>
      </c>
      <c r="J123" s="1">
        <v>40.1</v>
      </c>
      <c r="K123" s="1">
        <v>0</v>
      </c>
    </row>
    <row r="124" spans="2:11" x14ac:dyDescent="0.4">
      <c r="B124" s="8" t="s">
        <v>34</v>
      </c>
      <c r="C124" s="4" t="s">
        <v>222</v>
      </c>
      <c r="D124" s="4">
        <v>5</v>
      </c>
      <c r="E124" s="4">
        <v>7</v>
      </c>
      <c r="G124" s="1" t="s">
        <v>125</v>
      </c>
      <c r="H124" s="1" t="s">
        <v>112</v>
      </c>
      <c r="I124" s="1">
        <v>24.1</v>
      </c>
      <c r="J124" s="1">
        <v>24.1</v>
      </c>
      <c r="K124" s="1">
        <v>0</v>
      </c>
    </row>
    <row r="125" spans="2:11" x14ac:dyDescent="0.4">
      <c r="B125" s="8" t="s">
        <v>35</v>
      </c>
      <c r="C125" s="4" t="s">
        <v>223</v>
      </c>
      <c r="D125" s="5">
        <v>6</v>
      </c>
      <c r="E125" s="4">
        <v>7</v>
      </c>
      <c r="G125" s="1" t="s">
        <v>125</v>
      </c>
      <c r="H125" s="1" t="s">
        <v>113</v>
      </c>
      <c r="I125" s="1">
        <v>12</v>
      </c>
      <c r="J125" s="1">
        <v>12</v>
      </c>
      <c r="K125" s="1">
        <v>0</v>
      </c>
    </row>
    <row r="126" spans="2:11" x14ac:dyDescent="0.4">
      <c r="B126" s="8" t="s">
        <v>36</v>
      </c>
      <c r="C126" s="4" t="s">
        <v>224</v>
      </c>
      <c r="D126" s="4">
        <v>7</v>
      </c>
      <c r="E126" s="5">
        <v>7</v>
      </c>
      <c r="G126" s="1" t="s">
        <v>126</v>
      </c>
      <c r="H126" s="1" t="s">
        <v>110</v>
      </c>
      <c r="I126" s="1">
        <v>40.6</v>
      </c>
      <c r="J126" s="1">
        <v>40.6</v>
      </c>
      <c r="K126" s="1">
        <v>0</v>
      </c>
    </row>
    <row r="127" spans="2:11" x14ac:dyDescent="0.4">
      <c r="B127" s="8" t="s">
        <v>37</v>
      </c>
      <c r="C127" s="4" t="s">
        <v>225</v>
      </c>
      <c r="D127" s="5">
        <v>8</v>
      </c>
      <c r="E127" s="5">
        <v>7</v>
      </c>
      <c r="G127" s="1" t="s">
        <v>126</v>
      </c>
      <c r="H127" s="1" t="s">
        <v>112</v>
      </c>
      <c r="I127" s="1">
        <v>24.4</v>
      </c>
      <c r="J127" s="1">
        <v>24.4</v>
      </c>
      <c r="K127" s="1">
        <v>0</v>
      </c>
    </row>
    <row r="128" spans="2:11" x14ac:dyDescent="0.4">
      <c r="B128" s="8" t="s">
        <v>38</v>
      </c>
      <c r="C128" s="4" t="s">
        <v>226</v>
      </c>
      <c r="D128" s="4">
        <v>9</v>
      </c>
      <c r="E128" s="4">
        <v>7</v>
      </c>
      <c r="G128" s="1" t="s">
        <v>126</v>
      </c>
      <c r="H128" s="1" t="s">
        <v>113</v>
      </c>
      <c r="I128" s="1">
        <v>10</v>
      </c>
      <c r="J128" s="1">
        <v>10</v>
      </c>
      <c r="K128" s="1">
        <v>0</v>
      </c>
    </row>
    <row r="129" spans="2:11" x14ac:dyDescent="0.4">
      <c r="B129" s="7" t="s">
        <v>39</v>
      </c>
      <c r="C129" s="4" t="s">
        <v>227</v>
      </c>
      <c r="D129" s="5">
        <v>10</v>
      </c>
      <c r="E129" s="4">
        <v>7</v>
      </c>
      <c r="G129" s="1" t="s">
        <v>127</v>
      </c>
      <c r="H129" s="1" t="s">
        <v>110</v>
      </c>
      <c r="I129" s="1">
        <v>41</v>
      </c>
      <c r="J129" s="1">
        <v>41</v>
      </c>
      <c r="K129" s="1">
        <v>0</v>
      </c>
    </row>
    <row r="130" spans="2:11" x14ac:dyDescent="0.4">
      <c r="B130" s="8" t="s">
        <v>40</v>
      </c>
      <c r="C130" s="4" t="s">
        <v>228</v>
      </c>
      <c r="D130" s="4"/>
      <c r="E130" s="6"/>
      <c r="G130" s="1" t="s">
        <v>127</v>
      </c>
      <c r="H130" s="1" t="s">
        <v>112</v>
      </c>
      <c r="I130" s="1">
        <v>23.1</v>
      </c>
      <c r="J130" s="1">
        <v>23.1</v>
      </c>
      <c r="K130" s="1">
        <v>0</v>
      </c>
    </row>
    <row r="131" spans="2:11" x14ac:dyDescent="0.4">
      <c r="B131" s="8" t="s">
        <v>41</v>
      </c>
      <c r="C131" s="4" t="s">
        <v>229</v>
      </c>
      <c r="D131" s="4"/>
      <c r="E131" s="6"/>
      <c r="G131" s="1" t="s">
        <v>127</v>
      </c>
      <c r="H131" s="1" t="s">
        <v>113</v>
      </c>
      <c r="I131" s="1">
        <v>10</v>
      </c>
      <c r="J131" s="1">
        <v>10</v>
      </c>
      <c r="K131" s="1">
        <v>0</v>
      </c>
    </row>
    <row r="132" spans="2:11" x14ac:dyDescent="0.4">
      <c r="B132" s="8" t="s">
        <v>42</v>
      </c>
      <c r="C132" s="4" t="s">
        <v>230</v>
      </c>
      <c r="D132" s="4"/>
      <c r="E132" s="5"/>
      <c r="G132" s="1" t="s">
        <v>129</v>
      </c>
      <c r="H132" s="1" t="s">
        <v>110</v>
      </c>
      <c r="I132" s="1">
        <v>41.5</v>
      </c>
      <c r="J132" s="1">
        <v>41.5</v>
      </c>
      <c r="K132" s="1">
        <v>0</v>
      </c>
    </row>
    <row r="133" spans="2:11" x14ac:dyDescent="0.4">
      <c r="B133" s="8" t="s">
        <v>43</v>
      </c>
      <c r="C133" s="4" t="s">
        <v>231</v>
      </c>
      <c r="D133" s="4"/>
      <c r="E133" s="5"/>
      <c r="G133" s="1" t="s">
        <v>129</v>
      </c>
      <c r="H133" s="1" t="s">
        <v>112</v>
      </c>
      <c r="I133" s="1">
        <v>23.3</v>
      </c>
      <c r="J133" s="1">
        <v>23.3</v>
      </c>
      <c r="K133" s="1">
        <v>0</v>
      </c>
    </row>
    <row r="134" spans="2:11" x14ac:dyDescent="0.4">
      <c r="B134" s="8" t="s">
        <v>44</v>
      </c>
      <c r="C134" s="4" t="s">
        <v>232</v>
      </c>
      <c r="D134" s="5"/>
      <c r="E134" s="5"/>
      <c r="G134" s="1" t="s">
        <v>129</v>
      </c>
      <c r="H134" s="1" t="s">
        <v>113</v>
      </c>
      <c r="I134" s="1">
        <v>10</v>
      </c>
      <c r="J134" s="1">
        <v>10</v>
      </c>
      <c r="K134" s="1">
        <v>0</v>
      </c>
    </row>
    <row r="135" spans="2:11" x14ac:dyDescent="0.4">
      <c r="B135" s="8" t="s">
        <v>45</v>
      </c>
      <c r="C135" s="4" t="s">
        <v>233</v>
      </c>
      <c r="D135" s="4"/>
      <c r="E135" s="5"/>
      <c r="G135" s="1" t="s">
        <v>130</v>
      </c>
      <c r="H135" s="1"/>
      <c r="I135" s="1">
        <v>14.5</v>
      </c>
      <c r="J135" s="1">
        <v>0</v>
      </c>
      <c r="K135" s="1">
        <v>14.5</v>
      </c>
    </row>
    <row r="136" spans="2:11" x14ac:dyDescent="0.4">
      <c r="B136" s="8" t="s">
        <v>46</v>
      </c>
      <c r="C136" s="4" t="s">
        <v>234</v>
      </c>
      <c r="D136" s="4"/>
      <c r="E136" s="5"/>
      <c r="G136" s="1" t="s">
        <v>131</v>
      </c>
      <c r="H136" s="1"/>
      <c r="I136" s="1">
        <v>20</v>
      </c>
      <c r="J136" s="1">
        <v>0</v>
      </c>
      <c r="K136" s="1">
        <v>20</v>
      </c>
    </row>
    <row r="137" spans="2:11" x14ac:dyDescent="0.4">
      <c r="B137" s="8" t="s">
        <v>47</v>
      </c>
      <c r="C137" s="4" t="s">
        <v>235</v>
      </c>
      <c r="D137" s="5"/>
      <c r="E137" s="4"/>
      <c r="G137" s="1"/>
      <c r="H137" s="1"/>
      <c r="I137" s="1"/>
      <c r="J137" s="1"/>
      <c r="K137" s="1"/>
    </row>
    <row r="138" spans="2:11" x14ac:dyDescent="0.4">
      <c r="B138" s="9" t="s">
        <v>10</v>
      </c>
      <c r="C138" s="1" t="s">
        <v>236</v>
      </c>
      <c r="D138" s="1"/>
      <c r="E138" s="1"/>
      <c r="G138" s="1" t="s">
        <v>132</v>
      </c>
      <c r="H138" s="1"/>
      <c r="I138" s="1"/>
      <c r="J138" s="1"/>
      <c r="K138" s="1"/>
    </row>
    <row r="139" spans="2:11" x14ac:dyDescent="0.4">
      <c r="B139" s="8" t="s">
        <v>48</v>
      </c>
      <c r="C139" s="4" t="s">
        <v>237</v>
      </c>
      <c r="D139" s="5"/>
      <c r="E139" s="4"/>
      <c r="G139" s="1" t="s">
        <v>133</v>
      </c>
      <c r="H139" s="1" t="s">
        <v>134</v>
      </c>
      <c r="I139" s="1">
        <v>48</v>
      </c>
      <c r="J139" s="1">
        <v>48</v>
      </c>
      <c r="K139" s="1">
        <v>0</v>
      </c>
    </row>
    <row r="140" spans="2:11" x14ac:dyDescent="0.4">
      <c r="B140" s="8" t="s">
        <v>49</v>
      </c>
      <c r="C140" s="4" t="s">
        <v>238</v>
      </c>
      <c r="D140" s="5"/>
      <c r="E140" s="4"/>
      <c r="G140" s="1" t="s">
        <v>133</v>
      </c>
      <c r="H140" s="1" t="s">
        <v>135</v>
      </c>
      <c r="I140" s="1">
        <v>24</v>
      </c>
      <c r="J140" s="1">
        <v>24</v>
      </c>
      <c r="K140" s="1">
        <v>0</v>
      </c>
    </row>
    <row r="141" spans="2:11" x14ac:dyDescent="0.4">
      <c r="B141" s="8" t="s">
        <v>50</v>
      </c>
      <c r="C141" s="4" t="s">
        <v>239</v>
      </c>
      <c r="D141" s="4"/>
      <c r="E141" s="4"/>
      <c r="G141" s="1" t="s">
        <v>133</v>
      </c>
      <c r="H141" s="1" t="s">
        <v>136</v>
      </c>
      <c r="I141" s="1">
        <v>0</v>
      </c>
      <c r="J141" s="1">
        <v>0</v>
      </c>
      <c r="K141" s="1">
        <v>0</v>
      </c>
    </row>
    <row r="142" spans="2:11" x14ac:dyDescent="0.4">
      <c r="B142" s="8" t="s">
        <v>51</v>
      </c>
      <c r="C142" s="4" t="s">
        <v>240</v>
      </c>
      <c r="D142" s="4"/>
      <c r="E142" s="5"/>
      <c r="G142" s="1" t="s">
        <v>137</v>
      </c>
      <c r="H142" s="1" t="s">
        <v>134</v>
      </c>
      <c r="I142" s="1">
        <v>35</v>
      </c>
      <c r="J142" s="1">
        <v>35</v>
      </c>
      <c r="K142" s="1">
        <v>0</v>
      </c>
    </row>
    <row r="143" spans="2:11" x14ac:dyDescent="0.4">
      <c r="B143" s="8" t="s">
        <v>52</v>
      </c>
      <c r="C143" s="4" t="s">
        <v>241</v>
      </c>
      <c r="D143" s="4"/>
      <c r="E143" s="5"/>
      <c r="G143" s="1" t="s">
        <v>137</v>
      </c>
      <c r="H143" s="1" t="s">
        <v>135</v>
      </c>
      <c r="I143" s="1">
        <v>18</v>
      </c>
      <c r="J143" s="1">
        <v>18</v>
      </c>
      <c r="K143" s="1">
        <v>0</v>
      </c>
    </row>
    <row r="144" spans="2:11" x14ac:dyDescent="0.4">
      <c r="B144" s="8" t="s">
        <v>53</v>
      </c>
      <c r="C144" s="4" t="s">
        <v>242</v>
      </c>
      <c r="D144" s="5"/>
      <c r="E144" s="4"/>
      <c r="G144" s="1" t="s">
        <v>137</v>
      </c>
      <c r="H144" s="1" t="s">
        <v>136</v>
      </c>
      <c r="I144" s="1">
        <v>0</v>
      </c>
      <c r="J144" s="1">
        <v>0</v>
      </c>
      <c r="K144" s="1">
        <v>0</v>
      </c>
    </row>
    <row r="145" spans="2:11" x14ac:dyDescent="0.4">
      <c r="B145" s="8" t="s">
        <v>54</v>
      </c>
      <c r="C145" s="4" t="s">
        <v>243</v>
      </c>
      <c r="D145" s="4"/>
      <c r="E145" s="5"/>
      <c r="G145" s="1" t="s">
        <v>138</v>
      </c>
      <c r="H145" s="1" t="s">
        <v>134</v>
      </c>
      <c r="I145" s="1">
        <v>48.6</v>
      </c>
      <c r="J145" s="1">
        <v>48</v>
      </c>
      <c r="K145" s="1">
        <v>0.6</v>
      </c>
    </row>
    <row r="146" spans="2:11" x14ac:dyDescent="0.4">
      <c r="B146" s="8" t="s">
        <v>55</v>
      </c>
      <c r="C146" s="4" t="s">
        <v>244</v>
      </c>
      <c r="D146" s="4"/>
      <c r="E146" s="5"/>
      <c r="G146" s="1" t="s">
        <v>138</v>
      </c>
      <c r="H146" s="1" t="s">
        <v>135</v>
      </c>
      <c r="I146" s="1">
        <v>24.3</v>
      </c>
      <c r="J146" s="1">
        <v>24</v>
      </c>
      <c r="K146" s="1">
        <v>0.3</v>
      </c>
    </row>
    <row r="147" spans="2:11" x14ac:dyDescent="0.4">
      <c r="B147" s="8" t="s">
        <v>56</v>
      </c>
      <c r="C147" s="4" t="s">
        <v>245</v>
      </c>
      <c r="D147" s="4"/>
      <c r="E147" s="5"/>
      <c r="G147" s="1" t="s">
        <v>138</v>
      </c>
      <c r="H147" s="1" t="s">
        <v>139</v>
      </c>
      <c r="I147" s="1">
        <v>2</v>
      </c>
      <c r="J147" s="1">
        <v>0</v>
      </c>
      <c r="K147" s="1">
        <v>2</v>
      </c>
    </row>
    <row r="148" spans="2:11" x14ac:dyDescent="0.4">
      <c r="B148" s="8" t="s">
        <v>57</v>
      </c>
      <c r="C148" s="4" t="s">
        <v>246</v>
      </c>
      <c r="D148" s="4"/>
      <c r="E148" s="5"/>
      <c r="G148" s="1" t="s">
        <v>140</v>
      </c>
      <c r="H148" s="1" t="s">
        <v>110</v>
      </c>
      <c r="I148" s="1">
        <v>50.6</v>
      </c>
      <c r="J148" s="1">
        <v>50</v>
      </c>
      <c r="K148" s="1">
        <v>0.6</v>
      </c>
    </row>
    <row r="149" spans="2:11" x14ac:dyDescent="0.4">
      <c r="B149" s="8" t="s">
        <v>11</v>
      </c>
      <c r="C149" s="4" t="s">
        <v>247</v>
      </c>
      <c r="D149" s="4"/>
      <c r="E149" s="5"/>
      <c r="G149" s="1" t="s">
        <v>140</v>
      </c>
      <c r="H149" s="1" t="s">
        <v>112</v>
      </c>
      <c r="I149" s="1">
        <v>25.3</v>
      </c>
      <c r="J149" s="1">
        <v>25</v>
      </c>
      <c r="K149" s="1">
        <v>0.3</v>
      </c>
    </row>
    <row r="150" spans="2:11" x14ac:dyDescent="0.4">
      <c r="B150" s="8" t="s">
        <v>58</v>
      </c>
      <c r="C150" s="4" t="s">
        <v>248</v>
      </c>
      <c r="D150" s="4"/>
      <c r="E150" s="5"/>
      <c r="G150" s="1" t="s">
        <v>140</v>
      </c>
      <c r="H150" s="1" t="s">
        <v>113</v>
      </c>
      <c r="I150" s="1">
        <v>2</v>
      </c>
      <c r="J150" s="1">
        <v>0</v>
      </c>
      <c r="K150" s="1">
        <v>2</v>
      </c>
    </row>
    <row r="151" spans="2:11" x14ac:dyDescent="0.4">
      <c r="B151" s="8" t="s">
        <v>59</v>
      </c>
      <c r="C151" s="4" t="s">
        <v>249</v>
      </c>
      <c r="D151" s="4"/>
      <c r="E151" s="5"/>
      <c r="G151" s="1" t="s">
        <v>141</v>
      </c>
      <c r="H151" s="1" t="s">
        <v>134</v>
      </c>
      <c r="I151" s="1">
        <v>35.6</v>
      </c>
      <c r="J151" s="1">
        <v>35</v>
      </c>
      <c r="K151" s="1">
        <v>0.6</v>
      </c>
    </row>
    <row r="152" spans="2:11" x14ac:dyDescent="0.4">
      <c r="B152" s="8" t="s">
        <v>60</v>
      </c>
      <c r="C152" s="4" t="s">
        <v>250</v>
      </c>
      <c r="D152" s="4"/>
      <c r="E152" s="5"/>
      <c r="G152" s="1" t="s">
        <v>141</v>
      </c>
      <c r="H152" s="1" t="s">
        <v>135</v>
      </c>
      <c r="I152" s="1">
        <v>18.3</v>
      </c>
      <c r="J152" s="1">
        <v>18</v>
      </c>
      <c r="K152" s="1">
        <v>0.3</v>
      </c>
    </row>
    <row r="153" spans="2:11" x14ac:dyDescent="0.4">
      <c r="B153" s="8" t="s">
        <v>61</v>
      </c>
      <c r="C153" s="4" t="s">
        <v>251</v>
      </c>
      <c r="D153" s="4"/>
      <c r="E153" s="5"/>
      <c r="G153" s="1" t="s">
        <v>141</v>
      </c>
      <c r="H153" s="1" t="s">
        <v>139</v>
      </c>
      <c r="I153" s="1">
        <v>2</v>
      </c>
      <c r="J153" s="1">
        <v>0</v>
      </c>
      <c r="K153" s="1">
        <v>2</v>
      </c>
    </row>
    <row r="154" spans="2:11" x14ac:dyDescent="0.4">
      <c r="B154" s="8" t="s">
        <v>62</v>
      </c>
      <c r="C154" s="4" t="s">
        <v>252</v>
      </c>
      <c r="D154" s="5"/>
      <c r="E154" s="5"/>
      <c r="G154" s="1" t="s">
        <v>142</v>
      </c>
      <c r="H154" s="1" t="s">
        <v>134</v>
      </c>
      <c r="I154" s="1">
        <v>42.6</v>
      </c>
      <c r="J154" s="1">
        <v>42</v>
      </c>
      <c r="K154" s="1">
        <v>0.6</v>
      </c>
    </row>
    <row r="155" spans="2:11" x14ac:dyDescent="0.4">
      <c r="B155" s="8" t="s">
        <v>63</v>
      </c>
      <c r="C155" s="4" t="s">
        <v>253</v>
      </c>
      <c r="D155" s="5"/>
      <c r="E155" s="5"/>
      <c r="G155" s="1" t="s">
        <v>142</v>
      </c>
      <c r="H155" s="1" t="s">
        <v>135</v>
      </c>
      <c r="I155" s="1">
        <v>21.3</v>
      </c>
      <c r="J155" s="1">
        <v>21</v>
      </c>
      <c r="K155" s="1">
        <v>0.3</v>
      </c>
    </row>
    <row r="156" spans="2:11" x14ac:dyDescent="0.4">
      <c r="B156" s="8" t="s">
        <v>12</v>
      </c>
      <c r="C156" s="4" t="s">
        <v>64</v>
      </c>
      <c r="D156" s="4"/>
      <c r="E156" s="5"/>
      <c r="G156" s="1" t="s">
        <v>142</v>
      </c>
      <c r="H156" s="1" t="s">
        <v>139</v>
      </c>
      <c r="I156" s="1">
        <v>2</v>
      </c>
      <c r="J156" s="1">
        <v>0</v>
      </c>
      <c r="K156" s="1">
        <v>2</v>
      </c>
    </row>
    <row r="157" spans="2:11" x14ac:dyDescent="0.4">
      <c r="B157" s="8"/>
      <c r="C157" s="4" t="s">
        <v>65</v>
      </c>
      <c r="D157" s="4"/>
      <c r="E157" s="4"/>
      <c r="G157" s="1" t="s">
        <v>143</v>
      </c>
      <c r="H157" s="1" t="s">
        <v>134</v>
      </c>
      <c r="I157" s="1">
        <v>5</v>
      </c>
      <c r="J157" s="1">
        <v>5</v>
      </c>
      <c r="K157" s="1">
        <v>0</v>
      </c>
    </row>
    <row r="158" spans="2:11" x14ac:dyDescent="0.4">
      <c r="B158" s="4"/>
      <c r="C158" s="5" t="s">
        <v>65</v>
      </c>
      <c r="D158" s="4"/>
      <c r="E158" s="4"/>
      <c r="G158" s="1" t="s">
        <v>190</v>
      </c>
      <c r="H158" s="1" t="s">
        <v>135</v>
      </c>
      <c r="I158" s="1">
        <v>2.5</v>
      </c>
      <c r="J158" s="1">
        <v>2.5</v>
      </c>
      <c r="K158" s="1">
        <v>0</v>
      </c>
    </row>
    <row r="159" spans="2:11" x14ac:dyDescent="0.4">
      <c r="B159" s="5"/>
      <c r="C159" s="5" t="s">
        <v>65</v>
      </c>
      <c r="D159" s="4"/>
      <c r="E159" s="4"/>
      <c r="G159" s="1"/>
      <c r="H159" s="1"/>
      <c r="I159" s="1"/>
      <c r="J159" s="1"/>
      <c r="K159" s="1"/>
    </row>
    <row r="160" spans="2:11" x14ac:dyDescent="0.4">
      <c r="B160" s="4"/>
      <c r="C160" s="5" t="s">
        <v>65</v>
      </c>
      <c r="D160" s="5"/>
      <c r="E160" s="4"/>
      <c r="G160" s="1" t="s">
        <v>193</v>
      </c>
      <c r="H160" s="1"/>
      <c r="I160" s="1"/>
      <c r="J160" s="1"/>
      <c r="K160" s="1"/>
    </row>
    <row r="161" spans="2:11" x14ac:dyDescent="0.4">
      <c r="B161" s="4"/>
      <c r="C161" s="5" t="s">
        <v>65</v>
      </c>
      <c r="D161" s="5"/>
      <c r="E161" s="4"/>
      <c r="G161" s="1" t="s">
        <v>194</v>
      </c>
      <c r="H161" s="1">
        <v>-7</v>
      </c>
      <c r="I161" s="1"/>
      <c r="J161" s="1"/>
      <c r="K161" s="1"/>
    </row>
    <row r="162" spans="2:11" x14ac:dyDescent="0.4">
      <c r="B162" s="4"/>
      <c r="C162" s="5" t="s">
        <v>65</v>
      </c>
      <c r="D162" s="4"/>
      <c r="E162" s="5"/>
      <c r="G162" s="1" t="s">
        <v>195</v>
      </c>
      <c r="H162" s="1">
        <v>-17</v>
      </c>
      <c r="I162" s="1"/>
      <c r="J162" s="1"/>
      <c r="K162" s="1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10B06E-E2A1-4CA7-BDAA-59BE405D46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メニュー</vt:lpstr>
      <vt:lpstr>比較・外壁差額</vt:lpstr>
      <vt:lpstr>クリア</vt:lpstr>
      <vt:lpstr>比較・外壁差額!Print_Area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坂江保</dc:creator>
  <cp:keywords/>
  <dc:description/>
  <cp:lastModifiedBy>sync cross</cp:lastModifiedBy>
  <cp:revision/>
  <cp:lastPrinted>2026-03-26T14:24:41Z</cp:lastPrinted>
  <dcterms:created xsi:type="dcterms:W3CDTF">2022-07-30T09:22:28Z</dcterms:created>
  <dcterms:modified xsi:type="dcterms:W3CDTF">2026-04-01T16:19:18Z</dcterms:modified>
  <cp:category/>
  <cp:contentStatus/>
</cp:coreProperties>
</file>