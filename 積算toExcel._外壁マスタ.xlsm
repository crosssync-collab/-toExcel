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Download\積算書読込\"/>
    </mc:Choice>
  </mc:AlternateContent>
  <xr:revisionPtr revIDLastSave="0" documentId="13_ncr:1_{97ABF3CE-97AC-4BC5-BF82-548298428595}" xr6:coauthVersionLast="47" xr6:coauthVersionMax="47" xr10:uidLastSave="{00000000-0000-0000-0000-000000000000}"/>
  <bookViews>
    <workbookView xWindow="5790" yWindow="300" windowWidth="22485" windowHeight="13035" activeTab="1" xr2:uid="{00000000-000D-0000-FFFF-FFFF00000000}"/>
  </bookViews>
  <sheets>
    <sheet name="メニュー" sheetId="2" r:id="rId1"/>
    <sheet name="比較・外壁差額" sheetId="4" r:id="rId2"/>
    <sheet name="積算_260401-224646" sheetId="100" r:id="rId3"/>
    <sheet name="積算_260401-211254" sheetId="99" r:id="rId4"/>
    <sheet name="クリア" sheetId="6" state="hidden" r:id="rId5"/>
  </sheets>
  <externalReferences>
    <externalReference r:id="rId6"/>
  </externalReferences>
  <definedNames>
    <definedName name="__IntlFixup" hidden="1">TRUE</definedName>
    <definedName name="__IntlFixupTable" hidden="1">'[1]#REF'!$A$3:$AB$10</definedName>
    <definedName name="_Fill" hidden="1">#REF!</definedName>
    <definedName name="_xlnm.Print_Area" localSheetId="1">比較・外壁差額!$A$1:$H$57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" i="100" l="1"/>
  <c r="AB3" i="100"/>
  <c r="AB4" i="100"/>
  <c r="AB5" i="100"/>
  <c r="AB6" i="100"/>
  <c r="AB7" i="100"/>
  <c r="AB8" i="100"/>
  <c r="AB9" i="100"/>
  <c r="AB10" i="100"/>
  <c r="AB11" i="100"/>
  <c r="B22" i="100"/>
  <c r="B23" i="100" s="1"/>
  <c r="B24" i="100"/>
  <c r="B25" i="100"/>
  <c r="B28" i="100"/>
  <c r="B29" i="100"/>
  <c r="B30" i="100"/>
  <c r="B31" i="100"/>
  <c r="B32" i="100"/>
  <c r="B33" i="100"/>
  <c r="B34" i="100"/>
  <c r="B35" i="100"/>
  <c r="B36" i="100"/>
  <c r="B37" i="100"/>
  <c r="B38" i="100"/>
  <c r="B39" i="100"/>
  <c r="B40" i="100"/>
  <c r="C11" i="100"/>
  <c r="C12" i="100"/>
  <c r="C13" i="100"/>
  <c r="C14" i="100"/>
  <c r="C15" i="100"/>
  <c r="B22" i="99"/>
  <c r="B23" i="99" s="1"/>
  <c r="B24" i="99"/>
  <c r="B25" i="99"/>
  <c r="B28" i="99"/>
  <c r="B29" i="99"/>
  <c r="B30" i="99"/>
  <c r="B31" i="99"/>
  <c r="B32" i="99"/>
  <c r="B33" i="99"/>
  <c r="B34" i="99"/>
  <c r="B35" i="99"/>
  <c r="B36" i="99"/>
  <c r="B37" i="99"/>
  <c r="B38" i="99"/>
  <c r="B39" i="99"/>
  <c r="B40" i="99"/>
  <c r="C11" i="99"/>
  <c r="C12" i="99"/>
  <c r="C13" i="99"/>
  <c r="C14" i="99"/>
  <c r="C15" i="99"/>
  <c r="I48" i="4"/>
  <c r="I63" i="4"/>
  <c r="I46" i="4"/>
  <c r="H24" i="4"/>
  <c r="H41" i="4"/>
  <c r="C31" i="4"/>
  <c r="H18" i="4"/>
  <c r="H3" i="4"/>
  <c r="H50" i="4"/>
  <c r="I45" i="4"/>
  <c r="H44" i="4"/>
  <c r="H45" i="4"/>
  <c r="C20" i="4"/>
  <c r="I52" i="4"/>
  <c r="I50" i="4"/>
  <c r="I4" i="4"/>
  <c r="I61" i="4"/>
  <c r="I30" i="4"/>
  <c r="H57" i="4"/>
  <c r="I37" i="4" s="1"/>
  <c r="H7" i="4"/>
  <c r="H62" i="4"/>
  <c r="H13" i="4"/>
  <c r="C32" i="4"/>
  <c r="H5" i="4"/>
  <c r="C37" i="4"/>
  <c r="H9" i="4"/>
  <c r="H51" i="4"/>
  <c r="I47" i="4"/>
  <c r="H8" i="4"/>
  <c r="H21" i="4"/>
  <c r="H34" i="4"/>
  <c r="H60" i="4"/>
  <c r="H61" i="4"/>
  <c r="H39" i="4"/>
  <c r="C29" i="4"/>
  <c r="C23" i="4"/>
  <c r="H6" i="4"/>
  <c r="I44" i="4"/>
  <c r="H59" i="4"/>
  <c r="I49" i="4"/>
  <c r="H28" i="4"/>
  <c r="C35" i="4"/>
  <c r="I51" i="4"/>
  <c r="H16" i="4"/>
  <c r="I53" i="4"/>
  <c r="H11" i="4"/>
  <c r="I60" i="4"/>
  <c r="H55" i="4"/>
  <c r="C28" i="4"/>
  <c r="I54" i="4"/>
  <c r="H35" i="4"/>
  <c r="H25" i="4"/>
  <c r="I14" i="4"/>
  <c r="I57" i="4"/>
  <c r="H4" i="4"/>
  <c r="H19" i="4"/>
  <c r="I19" i="4"/>
  <c r="H63" i="4"/>
  <c r="C27" i="4"/>
  <c r="H22" i="4"/>
  <c r="I2" i="4" s="1"/>
  <c r="H17" i="4"/>
  <c r="H2" i="4"/>
  <c r="H10" i="4"/>
  <c r="H40" i="4"/>
  <c r="H43" i="4"/>
  <c r="H14" i="4"/>
  <c r="C26" i="4"/>
  <c r="H42" i="4"/>
  <c r="I22" i="4" s="1"/>
  <c r="H52" i="4"/>
  <c r="I59" i="4"/>
  <c r="C21" i="4"/>
  <c r="C30" i="4"/>
  <c r="H56" i="4"/>
  <c r="H20" i="4"/>
  <c r="H46" i="4"/>
  <c r="I26" i="4" s="1"/>
  <c r="C34" i="4"/>
  <c r="H54" i="4"/>
  <c r="I34" i="4" s="1"/>
  <c r="I15" i="4"/>
  <c r="I23" i="4"/>
  <c r="I21" i="4"/>
  <c r="H31" i="4"/>
  <c r="I11" i="4" s="1"/>
  <c r="H15" i="4"/>
  <c r="H37" i="4"/>
  <c r="I17" i="4" s="1"/>
  <c r="B37" i="4"/>
  <c r="B35" i="4" s="1"/>
  <c r="H53" i="4"/>
  <c r="H58" i="4"/>
  <c r="H36" i="4"/>
  <c r="I16" i="4" s="1"/>
  <c r="H33" i="4"/>
  <c r="H29" i="4"/>
  <c r="I9" i="4"/>
  <c r="I58" i="4"/>
  <c r="H47" i="4"/>
  <c r="H26" i="4"/>
  <c r="H27" i="4"/>
  <c r="H23" i="4"/>
  <c r="I3" i="4" s="1"/>
  <c r="H49" i="4"/>
  <c r="C22" i="4"/>
  <c r="I27" i="4"/>
  <c r="H12" i="4"/>
  <c r="H30" i="4"/>
  <c r="I10" i="4" s="1"/>
  <c r="H48" i="4"/>
  <c r="I55" i="4"/>
  <c r="B38" i="4"/>
  <c r="B36" i="4" s="1"/>
  <c r="C36" i="4"/>
  <c r="I62" i="4"/>
  <c r="H38" i="4"/>
  <c r="I18" i="4" s="1"/>
  <c r="C33" i="4"/>
  <c r="H32" i="4"/>
  <c r="I12" i="4" s="1"/>
  <c r="I36" i="4"/>
  <c r="C38" i="4"/>
  <c r="I56" i="4"/>
  <c r="I43" i="4"/>
  <c r="I24" i="4"/>
  <c r="I35" i="4"/>
  <c r="I41" i="4"/>
  <c r="I42" i="4"/>
  <c r="I6" i="4"/>
  <c r="I8" i="4"/>
  <c r="I28" i="4"/>
  <c r="I38" i="4"/>
  <c r="B34" i="4"/>
  <c r="I40" i="4"/>
  <c r="I13" i="4"/>
  <c r="I32" i="4"/>
  <c r="I25" i="4"/>
  <c r="I5" i="4"/>
  <c r="I7" i="4"/>
  <c r="I33" i="4"/>
  <c r="I29" i="4"/>
  <c r="C24" i="4"/>
  <c r="I39" i="4"/>
  <c r="B33" i="4"/>
  <c r="I31" i="4"/>
  <c r="I20" i="4"/>
  <c r="B26" i="99" l="1"/>
  <c r="B27" i="99" s="1"/>
  <c r="B26" i="100"/>
  <c r="B27" i="100" s="1"/>
  <c r="W14" i="4"/>
  <c r="V14" i="4"/>
  <c r="D34" i="4"/>
  <c r="I1" i="4"/>
  <c r="K1" i="4" s="1" a="1"/>
  <c r="K1" i="4" s="1"/>
  <c r="D33" i="4"/>
  <c r="C25" i="4"/>
  <c r="B31" i="4"/>
  <c r="B32" i="4"/>
  <c r="U14" i="4" l="1"/>
  <c r="W13" i="4"/>
  <c r="D31" i="4"/>
  <c r="D32" i="4"/>
  <c r="B29" i="4"/>
  <c r="B30" i="4"/>
  <c r="P2" i="4" l="1"/>
  <c r="V13" i="4"/>
  <c r="U13" i="4"/>
  <c r="Q8" i="4"/>
  <c r="Q11" i="4"/>
  <c r="Q10" i="4"/>
  <c r="Q4" i="4"/>
  <c r="Q9" i="4"/>
  <c r="Q7" i="4"/>
  <c r="Q5" i="4"/>
  <c r="Q3" i="4"/>
  <c r="Q6" i="4"/>
  <c r="P8" i="4"/>
  <c r="Q2" i="4"/>
  <c r="P10" i="4"/>
  <c r="P11" i="4"/>
  <c r="P9" i="4"/>
  <c r="P6" i="4"/>
  <c r="P7" i="4"/>
  <c r="P4" i="4"/>
  <c r="P5" i="4"/>
  <c r="P3" i="4"/>
  <c r="D30" i="4"/>
  <c r="D29" i="4"/>
  <c r="B28" i="4"/>
  <c r="B27" i="4"/>
  <c r="C2" i="4"/>
  <c r="O10" i="4" l="1"/>
  <c r="O11" i="4" s="1"/>
  <c r="O6" i="4"/>
  <c r="O8" i="4" s="1"/>
  <c r="O7" i="4"/>
  <c r="O9" i="4"/>
  <c r="O3" i="4"/>
  <c r="O5" i="4"/>
  <c r="O4" i="4"/>
  <c r="O2" i="4"/>
  <c r="D27" i="4"/>
  <c r="D28" i="4"/>
  <c r="C4" i="4"/>
  <c r="B25" i="4"/>
  <c r="C14" i="4"/>
  <c r="C13" i="4"/>
  <c r="C9" i="4"/>
  <c r="C5" i="4"/>
  <c r="C12" i="4"/>
  <c r="C16" i="4"/>
  <c r="C7" i="4"/>
  <c r="B26" i="4"/>
  <c r="B24" i="4" s="1"/>
  <c r="C10" i="4"/>
  <c r="C19" i="4"/>
  <c r="C3" i="4"/>
  <c r="C11" i="4"/>
  <c r="C15" i="4"/>
  <c r="C6" i="4"/>
  <c r="C18" i="4"/>
  <c r="C8" i="4"/>
  <c r="C17" i="4"/>
  <c r="B22" i="4"/>
  <c r="B20" i="4"/>
  <c r="D20" i="4" l="1"/>
  <c r="D22" i="4"/>
  <c r="D24" i="4"/>
  <c r="R2" i="4"/>
  <c r="S2" i="4" s="1"/>
  <c r="R11" i="4"/>
  <c r="R10" i="4"/>
  <c r="S10" i="4" s="1"/>
  <c r="R9" i="4"/>
  <c r="S9" i="4" s="1"/>
  <c r="R8" i="4"/>
  <c r="R7" i="4"/>
  <c r="S7" i="4" s="1"/>
  <c r="R6" i="4"/>
  <c r="S6" i="4" s="1"/>
  <c r="R5" i="4"/>
  <c r="S5" i="4" s="1"/>
  <c r="R4" i="4"/>
  <c r="S4" i="4" s="1"/>
  <c r="R3" i="4"/>
  <c r="S3" i="4" s="1"/>
  <c r="D25" i="4"/>
  <c r="D26" i="4"/>
  <c r="B23" i="4"/>
  <c r="D2" i="4" l="1"/>
  <c r="E2" i="4"/>
  <c r="S8" i="4"/>
  <c r="S11" i="4"/>
  <c r="D23" i="4"/>
  <c r="B21" i="4"/>
  <c r="F2" i="4" l="1"/>
  <c r="D21" i="4"/>
  <c r="B16" i="4"/>
  <c r="B4" i="4"/>
  <c r="D16" i="4" l="1"/>
  <c r="B12" i="4"/>
  <c r="B17" i="4"/>
  <c r="B3" i="4"/>
  <c r="B10" i="4"/>
  <c r="B18" i="4"/>
  <c r="B6" i="4"/>
  <c r="B9" i="4"/>
  <c r="D12" i="4" l="1"/>
  <c r="B15" i="4"/>
  <c r="D15" i="4" l="1"/>
  <c r="B13" i="4"/>
  <c r="B5" i="4"/>
  <c r="B7" i="4"/>
  <c r="B8" i="4"/>
  <c r="D13" i="4" l="1"/>
  <c r="B14" i="4"/>
  <c r="D14" i="4" l="1"/>
  <c r="B11" i="4"/>
  <c r="B19" i="4"/>
  <c r="B2" i="4"/>
  <c r="D11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A8632B-57C2-4542-964E-747DDA808C7C}" keepAlive="1" name="接続" type="5" refreshedVersion="0" background="1">
    <dbPr connection="Provider=Microsoft.Mashup.OleDb.1;Data Source=$Workbook$;Location=PDFImport_260319_202624;Extended Properties=&quot;&quot;" commandType="0"/>
  </connection>
  <connection id="2" xr16:uid="{CCDFE5AD-8903-4377-9C99-1920BA5435E9}" keepAlive="1" name="接続1" type="5" refreshedVersion="0" background="1">
    <dbPr connection="Provider=Microsoft.Mashup.OleDb.1;Data Source=$Workbook$;Location=PDFImport_260319_203244;Extended Properties=&quot;&quot;" commandType="0"/>
  </connection>
  <connection id="3" xr16:uid="{6C15BFE3-2F54-487E-8FAC-2D89E40C0150}" keepAlive="1" name="接続10" type="5" refreshedVersion="0" background="1">
    <dbPr connection="Provider=Microsoft.Mashup.OleDb.1;Data Source=$Workbook$;Location=PDFImport_260320_145120;Extended Properties=&quot;&quot;" commandType="0"/>
  </connection>
  <connection id="4" xr16:uid="{DC24D2A3-6F34-4431-B7BC-6F2B60A792AF}" keepAlive="1" name="接続100" type="5" refreshedVersion="0" background="1">
    <dbPr connection="Provider=Microsoft.Mashup.OleDb.1;Data Source=$Workbook$;Location=PDFImport_260325_005151;Extended Properties=&quot;&quot;" commandType="0"/>
  </connection>
  <connection id="5" xr16:uid="{715F64FA-FF3A-48B8-B34D-1F41FFC1FEE6}" keepAlive="1" name="接続101" type="5" refreshedVersion="0" background="1">
    <dbPr connection="Provider=Microsoft.Mashup.OleDb.1;Data Source=$Workbook$;Location=PDFImport_260325_005248;Extended Properties=&quot;&quot;" commandType="0"/>
  </connection>
  <connection id="6" xr16:uid="{96EAC612-44B5-4079-8AFB-3CF1C9DD6A92}" keepAlive="1" name="接続102" type="5" refreshedVersion="0" background="1">
    <dbPr connection="Provider=Microsoft.Mashup.OleDb.1;Data Source=$Workbook$;Location=PDFImport_260325_011308;Extended Properties=&quot;&quot;" commandType="0"/>
  </connection>
  <connection id="7" xr16:uid="{71892A2B-92D8-4E52-A7FD-3CF957BDB19F}" keepAlive="1" name="接続103" type="5" refreshedVersion="0" background="1">
    <dbPr connection="Provider=Microsoft.Mashup.OleDb.1;Data Source=$Workbook$;Location=PDFImport_260325_011426;Extended Properties=&quot;&quot;" commandType="0"/>
  </connection>
  <connection id="8" xr16:uid="{A337346E-9DBE-4245-A8FA-26EC0F56D378}" keepAlive="1" name="接続104" type="5" refreshedVersion="0" background="1">
    <dbPr connection="Provider=Microsoft.Mashup.OleDb.1;Data Source=$Workbook$;Location=PDFImport_260325_011455;Extended Properties=&quot;&quot;" commandType="0"/>
  </connection>
  <connection id="9" xr16:uid="{E475B8F1-0C43-4482-A5F1-8B57149639E9}" keepAlive="1" name="接続105" type="5" refreshedVersion="0" background="1">
    <dbPr connection="Provider=Microsoft.Mashup.OleDb.1;Data Source=$Workbook$;Location=PDFImport_260325_011516;Extended Properties=&quot;&quot;" commandType="0"/>
  </connection>
  <connection id="10" xr16:uid="{65A3DD06-A459-4F32-A01A-B4E7DF606305}" keepAlive="1" name="接続106" type="5" refreshedVersion="0" background="1">
    <dbPr connection="Provider=Microsoft.Mashup.OleDb.1;Data Source=$Workbook$;Location=PDFImport_260325_011550;Extended Properties=&quot;&quot;" commandType="0"/>
  </connection>
  <connection id="11" xr16:uid="{1D0853B7-5782-43F4-B51A-028A7B87E365}" keepAlive="1" name="接続107" type="5" refreshedVersion="0" background="1">
    <dbPr connection="Provider=Microsoft.Mashup.OleDb.1;Data Source=$Workbook$;Location=PDFImport_260325_011652;Extended Properties=&quot;&quot;" commandType="0"/>
  </connection>
  <connection id="12" xr16:uid="{B4A747D3-C711-43AF-B4D3-974B3722F8A4}" keepAlive="1" name="接続108" type="5" refreshedVersion="0" background="1">
    <dbPr connection="Provider=Microsoft.Mashup.OleDb.1;Data Source=$Workbook$;Location=PDFImport_260325_011752;Extended Properties=&quot;&quot;" commandType="0"/>
  </connection>
  <connection id="13" xr16:uid="{29A2440F-9E62-40B5-85D9-7F2F366B5053}" keepAlive="1" name="接続109" type="5" refreshedVersion="0" background="1">
    <dbPr connection="Provider=Microsoft.Mashup.OleDb.1;Data Source=$Workbook$;Location=PDFImport_260325_011807;Extended Properties=&quot;&quot;" commandType="0"/>
  </connection>
  <connection id="14" xr16:uid="{D52523B0-7247-46DA-B7EF-6384EA606272}" keepAlive="1" name="接続11" type="5" refreshedVersion="0" background="1">
    <dbPr connection="Provider=Microsoft.Mashup.OleDb.1;Data Source=$Workbook$;Location=PDFImport_260320_151230;Extended Properties=&quot;&quot;" commandType="0"/>
  </connection>
  <connection id="15" xr16:uid="{4C2F5969-D125-4D41-AFDA-5C301CE697A4}" keepAlive="1" name="接続110" type="5" refreshedVersion="0" background="1">
    <dbPr connection="Provider=Microsoft.Mashup.OleDb.1;Data Source=$Workbook$;Location=PDFImport_260325_011831;Extended Properties=&quot;&quot;" commandType="0"/>
  </connection>
  <connection id="16" xr16:uid="{3AECFC74-A761-4EDD-9775-E1770C0DD5FD}" keepAlive="1" name="接続111" type="5" refreshedVersion="0" background="1">
    <dbPr connection="Provider=Microsoft.Mashup.OleDb.1;Data Source=$Workbook$;Location=PDFImport_260325_012408;Extended Properties=&quot;&quot;" commandType="0"/>
  </connection>
  <connection id="17" xr16:uid="{40E8D62D-CF3A-4A1F-AEC7-DBD84264EF7E}" keepAlive="1" name="接続112" type="5" refreshedVersion="0" background="1">
    <dbPr connection="Provider=Microsoft.Mashup.OleDb.1;Data Source=$Workbook$;Location=PDFImport_260325_012623;Extended Properties=&quot;&quot;" commandType="0"/>
  </connection>
  <connection id="18" xr16:uid="{282F9146-4355-4B37-BB98-433209D902EC}" keepAlive="1" name="接続113" type="5" refreshedVersion="0" background="1">
    <dbPr connection="Provider=Microsoft.Mashup.OleDb.1;Data Source=$Workbook$;Location=PDFImport_260325_013013;Extended Properties=&quot;&quot;" commandType="0"/>
  </connection>
  <connection id="19" xr16:uid="{F3DD7C2E-26B7-46A8-84C1-AE48B212C098}" keepAlive="1" name="接続114" type="5" refreshedVersion="0" background="1">
    <dbPr connection="Provider=Microsoft.Mashup.OleDb.1;Data Source=$Workbook$;Location=PDFImport_260325_013152;Extended Properties=&quot;&quot;" commandType="0"/>
  </connection>
  <connection id="20" xr16:uid="{90AEEFB1-37BD-4240-8818-DE3CF6E1A99C}" keepAlive="1" name="接続115" type="5" refreshedVersion="0" background="1">
    <dbPr connection="Provider=Microsoft.Mashup.OleDb.1;Data Source=$Workbook$;Location=PDFImport_260325_013343;Extended Properties=&quot;&quot;" commandType="0"/>
  </connection>
  <connection id="21" xr16:uid="{7C4740E7-749E-49CA-9AC5-F2135A0A62E6}" keepAlive="1" name="接続116" type="5" refreshedVersion="0" background="1">
    <dbPr connection="Provider=Microsoft.Mashup.OleDb.1;Data Source=$Workbook$;Location=PDFImport_260325_014238;Extended Properties=&quot;&quot;" commandType="0"/>
  </connection>
  <connection id="22" xr16:uid="{1C91F366-3B07-413A-A879-F78989E0EC55}" keepAlive="1" name="接続117" type="5" refreshedVersion="0" background="1">
    <dbPr connection="Provider=Microsoft.Mashup.OleDb.1;Data Source=$Workbook$;Location=PDFImport_260325_014426;Extended Properties=&quot;&quot;" commandType="0"/>
  </connection>
  <connection id="23" xr16:uid="{ACC1F72D-D44D-457C-9FFC-203B20DD684E}" keepAlive="1" name="接続118" type="5" refreshedVersion="0" background="1">
    <dbPr connection="Provider=Microsoft.Mashup.OleDb.1;Data Source=$Workbook$;Location=PDFImport_260325_014538;Extended Properties=&quot;&quot;" commandType="0"/>
  </connection>
  <connection id="24" xr16:uid="{56BA3A1E-47A6-4859-B9DD-850869210375}" keepAlive="1" name="接続119" type="5" refreshedVersion="0" background="1">
    <dbPr connection="Provider=Microsoft.Mashup.OleDb.1;Data Source=$Workbook$;Location=PDFImport_260325_015355;Extended Properties=&quot;&quot;" commandType="0"/>
  </connection>
  <connection id="25" xr16:uid="{C4E29CE9-DF3D-440D-957F-E5F644732311}" keepAlive="1" name="接続12" type="5" refreshedVersion="0" background="1">
    <dbPr connection="Provider=Microsoft.Mashup.OleDb.1;Data Source=$Workbook$;Location=PDFImport_260320_151415;Extended Properties=&quot;&quot;" commandType="0"/>
  </connection>
  <connection id="26" xr16:uid="{C1B0BF82-6A36-4E0B-98F3-F258734B95AD}" keepAlive="1" name="接続120" type="5" refreshedVersion="0" background="1">
    <dbPr connection="Provider=Microsoft.Mashup.OleDb.1;Data Source=$Workbook$;Location=PDFImport_260325_020256;Extended Properties=&quot;&quot;" commandType="0"/>
  </connection>
  <connection id="27" xr16:uid="{2E27E72D-1FF3-443F-9775-156AF295F937}" keepAlive="1" name="接続121" type="5" refreshedVersion="0" background="1">
    <dbPr connection="Provider=Microsoft.Mashup.OleDb.1;Data Source=$Workbook$;Location=PDFImport_260325_020320;Extended Properties=&quot;&quot;" commandType="0"/>
  </connection>
  <connection id="28" xr16:uid="{354F2AAC-B34B-4EBB-95CD-469DAE9E03C0}" keepAlive="1" name="接続122" type="5" refreshedVersion="0" background="1">
    <dbPr connection="Provider=Microsoft.Mashup.OleDb.1;Data Source=$Workbook$;Location=PDFImport_260325_020718;Extended Properties=&quot;&quot;" commandType="0"/>
  </connection>
  <connection id="29" xr16:uid="{B9DFD1E1-3134-4EB7-B522-42038206FE15}" keepAlive="1" name="接続123" type="5" refreshedVersion="0" background="1">
    <dbPr connection="Provider=Microsoft.Mashup.OleDb.1;Data Source=$Workbook$;Location=PDFImport_260325_021231;Extended Properties=&quot;&quot;" commandType="0"/>
  </connection>
  <connection id="30" xr16:uid="{05753F7E-A47A-40E0-9579-B59FF22C1020}" keepAlive="1" name="接続124" type="5" refreshedVersion="0" background="1">
    <dbPr connection="Provider=Microsoft.Mashup.OleDb.1;Data Source=$Workbook$;Location=PDFImport_260325_021401;Extended Properties=&quot;&quot;" commandType="0"/>
  </connection>
  <connection id="31" xr16:uid="{7F289B86-0492-48E1-83D3-580D88A7703E}" keepAlive="1" name="接続125" type="5" refreshedVersion="0" background="1">
    <dbPr connection="Provider=Microsoft.Mashup.OleDb.1;Data Source=$Workbook$;Location=PDFImport_260325_021503;Extended Properties=&quot;&quot;" commandType="0"/>
  </connection>
  <connection id="32" xr16:uid="{210C94D1-B5B4-4CEE-9788-A1DF150311F0}" keepAlive="1" name="接続126" type="5" refreshedVersion="0" background="1">
    <dbPr connection="Provider=Microsoft.Mashup.OleDb.1;Data Source=$Workbook$;Location=PDFImport_260325_021902;Extended Properties=&quot;&quot;" commandType="0"/>
  </connection>
  <connection id="33" xr16:uid="{C52F03A5-DE1D-48C7-8F6B-6153E029F796}" keepAlive="1" name="接続127" type="5" refreshedVersion="0" background="1">
    <dbPr connection="Provider=Microsoft.Mashup.OleDb.1;Data Source=$Workbook$;Location=PDFImport_260325_080414;Extended Properties=&quot;&quot;" commandType="0"/>
  </connection>
  <connection id="34" xr16:uid="{5A28088B-9CE4-448D-9EA1-BFD7CB8CEA71}" keepAlive="1" name="接続128" type="5" refreshedVersion="0" background="1">
    <dbPr connection="Provider=Microsoft.Mashup.OleDb.1;Data Source=$Workbook$;Location=PDFImport_260325_085720;Extended Properties=&quot;&quot;" commandType="0"/>
  </connection>
  <connection id="35" xr16:uid="{38993747-D16C-4EAB-8256-5DC2CB3EFAEE}" keepAlive="1" name="接続129" type="5" refreshedVersion="0" background="1">
    <dbPr connection="Provider=Microsoft.Mashup.OleDb.1;Data Source=$Workbook$;Location=PDFImport_260325_093218;Extended Properties=&quot;&quot;" commandType="0"/>
  </connection>
  <connection id="36" xr16:uid="{F4683B6D-9AAD-4626-89AE-8E183E07C21B}" keepAlive="1" name="接続13" type="5" refreshedVersion="0" background="1">
    <dbPr connection="Provider=Microsoft.Mashup.OleDb.1;Data Source=$Workbook$;Location=PDFImport_260320_160138;Extended Properties=&quot;&quot;" commandType="0"/>
  </connection>
  <connection id="37" xr16:uid="{6D4843B6-F54B-443F-8EBA-DC3A130382D6}" keepAlive="1" name="接続130" type="5" refreshedVersion="0" background="1">
    <dbPr connection="Provider=Microsoft.Mashup.OleDb.1;Data Source=$Workbook$;Location=PDFImport_260325_093517;Extended Properties=&quot;&quot;" commandType="0"/>
  </connection>
  <connection id="38" xr16:uid="{85585775-03BD-409D-B515-C218531993E9}" keepAlive="1" name="接続131" type="5" refreshedVersion="0" background="1">
    <dbPr connection="Provider=Microsoft.Mashup.OleDb.1;Data Source=$Workbook$;Location=PDFImport_260325_093608;Extended Properties=&quot;&quot;" commandType="0"/>
  </connection>
  <connection id="39" xr16:uid="{AEBCF6E2-467F-4A2C-A9BE-30CB26AACF98}" keepAlive="1" name="接続132" type="5" refreshedVersion="0" background="1">
    <dbPr connection="Provider=Microsoft.Mashup.OleDb.1;Data Source=$Workbook$;Location=PDFImport_260325_093726;Extended Properties=&quot;&quot;" commandType="0"/>
  </connection>
  <connection id="40" xr16:uid="{252A1AC0-8D97-4A00-939D-D22B9E535D19}" keepAlive="1" name="接続133" type="5" refreshedVersion="0" background="1">
    <dbPr connection="Provider=Microsoft.Mashup.OleDb.1;Data Source=$Workbook$;Location=PDFImport_260325_094009;Extended Properties=&quot;&quot;" commandType="0"/>
  </connection>
  <connection id="41" xr16:uid="{F5245492-8A7C-45BE-B968-41651D2F2477}" keepAlive="1" name="接続134" type="5" refreshedVersion="0" background="1">
    <dbPr connection="Provider=Microsoft.Mashup.OleDb.1;Data Source=$Workbook$;Location=PDFImport_260325_095817;Extended Properties=&quot;&quot;" commandType="0"/>
  </connection>
  <connection id="42" xr16:uid="{E0BDD276-D797-435D-9C07-FF8FC909669A}" keepAlive="1" name="接続135" type="5" refreshedVersion="0" background="1">
    <dbPr connection="Provider=Microsoft.Mashup.OleDb.1;Data Source=$Workbook$;Location=PDFImport_260325_103112;Extended Properties=&quot;&quot;" commandType="0"/>
  </connection>
  <connection id="43" xr16:uid="{3E9311FC-EE6A-4C5B-9568-4CF1776D888F}" keepAlive="1" name="接続136" type="5" refreshedVersion="0" background="1">
    <dbPr connection="Provider=Microsoft.Mashup.OleDb.1;Data Source=$Workbook$;Location=PDFImport_260325_104049;Extended Properties=&quot;&quot;" commandType="0"/>
  </connection>
  <connection id="44" xr16:uid="{7D3D31F8-1542-43E8-A0FF-90A43F373E93}" keepAlive="1" name="接続137" type="5" refreshedVersion="0" background="1">
    <dbPr connection="Provider=Microsoft.Mashup.OleDb.1;Data Source=$Workbook$;Location=PDFImport_260325_104619;Extended Properties=&quot;&quot;" commandType="0"/>
  </connection>
  <connection id="45" xr16:uid="{54F2B2DA-32BC-4F91-8994-EEEAA48BDEE0}" keepAlive="1" name="接続138" type="5" refreshedVersion="0" background="1">
    <dbPr connection="Provider=Microsoft.Mashup.OleDb.1;Data Source=$Workbook$;Location=PDFImport_260325_105348;Extended Properties=&quot;&quot;" commandType="0"/>
  </connection>
  <connection id="46" xr16:uid="{A754CE9F-4ACA-4509-BA5C-3A8D24DCADAD}" keepAlive="1" name="接続139" type="5" refreshedVersion="0" background="1">
    <dbPr connection="Provider=Microsoft.Mashup.OleDb.1;Data Source=$Workbook$;Location=PDFImport_260325_110149;Extended Properties=&quot;&quot;" commandType="0"/>
  </connection>
  <connection id="47" xr16:uid="{6DEE20A5-6D20-4431-A618-5CBD1657A533}" keepAlive="1" name="接続14" type="5" refreshedVersion="0" background="1">
    <dbPr connection="Provider=Microsoft.Mashup.OleDb.1;Data Source=$Workbook$;Location=PDFImport_260320_160250;Extended Properties=&quot;&quot;" commandType="0"/>
  </connection>
  <connection id="48" xr16:uid="{C3A2CD67-8B84-4C7F-B003-373FBE07AE4F}" keepAlive="1" name="接続140" type="5" refreshedVersion="0" background="1">
    <dbPr connection="Provider=Microsoft.Mashup.OleDb.1;Data Source=$Workbook$;Location=PDFImport_260325_111420;Extended Properties=&quot;&quot;" commandType="0"/>
  </connection>
  <connection id="49" xr16:uid="{78BA49B6-E454-45C6-8425-2A1FDA309351}" keepAlive="1" name="接続141" type="5" refreshedVersion="0" background="1">
    <dbPr connection="Provider=Microsoft.Mashup.OleDb.1;Data Source=$Workbook$;Location=PDFImport_260325_111610;Extended Properties=&quot;&quot;" commandType="0"/>
  </connection>
  <connection id="50" xr16:uid="{42E7988C-6CDC-462E-A0FB-38DCDC59F4DD}" keepAlive="1" name="接続142" type="5" refreshedVersion="0" background="1">
    <dbPr connection="Provider=Microsoft.Mashup.OleDb.1;Data Source=$Workbook$;Location=PDFImport_260325_111945;Extended Properties=&quot;&quot;" commandType="0"/>
  </connection>
  <connection id="51" xr16:uid="{F128D3D5-02A6-490D-89E0-07169EA96992}" keepAlive="1" name="接続143" type="5" refreshedVersion="0" background="1">
    <dbPr connection="Provider=Microsoft.Mashup.OleDb.1;Data Source=$Workbook$;Location=PDFImport_260325_112025;Extended Properties=&quot;&quot;" commandType="0"/>
  </connection>
  <connection id="52" xr16:uid="{CDAE290B-EEAE-493B-B82E-744911D8803D}" keepAlive="1" name="接続144" type="5" refreshedVersion="0" background="1">
    <dbPr connection="Provider=Microsoft.Mashup.OleDb.1;Data Source=$Workbook$;Location=PDFImport_260325_112108;Extended Properties=&quot;&quot;" commandType="0"/>
  </connection>
  <connection id="53" xr16:uid="{F8910D68-4B68-4767-A927-AF6E928264AE}" keepAlive="1" name="接続145" type="5" refreshedVersion="0" background="1">
    <dbPr connection="Provider=Microsoft.Mashup.OleDb.1;Data Source=$Workbook$;Location=PDFImport_260325_112137;Extended Properties=&quot;&quot;" commandType="0"/>
  </connection>
  <connection id="54" xr16:uid="{78EB7B5C-72C2-4A9A-AAED-B386EF519A06}" keepAlive="1" name="接続146" type="5" refreshedVersion="0" background="1">
    <dbPr connection="Provider=Microsoft.Mashup.OleDb.1;Data Source=$Workbook$;Location=PDFImport_260325_113236;Extended Properties=&quot;&quot;" commandType="0"/>
  </connection>
  <connection id="55" xr16:uid="{F379FAD7-F071-4F9C-8C7B-423BDB5D22D1}" keepAlive="1" name="接続147" type="5" refreshedVersion="0" background="1">
    <dbPr connection="Provider=Microsoft.Mashup.OleDb.1;Data Source=$Workbook$;Location=PDFImport_260325_114634;Extended Properties=&quot;&quot;" commandType="0"/>
  </connection>
  <connection id="56" xr16:uid="{B26A5BE3-32FC-4E09-9224-5FE6C9DC5F67}" keepAlive="1" name="接続148" type="5" refreshedVersion="0" background="1">
    <dbPr connection="Provider=Microsoft.Mashup.OleDb.1;Data Source=$Workbook$;Location=PDFImport_260325_120934;Extended Properties=&quot;&quot;" commandType="0"/>
  </connection>
  <connection id="57" xr16:uid="{83175250-2DF3-4EEE-9AD8-A23F5C423255}" keepAlive="1" name="接続149" type="5" refreshedVersion="0" background="1">
    <dbPr connection="Provider=Microsoft.Mashup.OleDb.1;Data Source=$Workbook$;Location=PDFImport_260325_191752;Extended Properties=&quot;&quot;" commandType="0"/>
  </connection>
  <connection id="58" xr16:uid="{9278D09A-EDF7-475A-BF79-48CA4EB57EC2}" keepAlive="1" name="接続15" type="5" refreshedVersion="0" background="1">
    <dbPr connection="Provider=Microsoft.Mashup.OleDb.1;Data Source=$Workbook$;Location=PDFImport_260320_173153;Extended Properties=&quot;&quot;" commandType="0"/>
  </connection>
  <connection id="59" xr16:uid="{748B88B3-9122-495D-B274-ECF0AAAC86D1}" keepAlive="1" name="接続150" type="5" refreshedVersion="0" background="1">
    <dbPr connection="Provider=Microsoft.Mashup.OleDb.1;Data Source=$Workbook$;Location=PDFImport_260325_191922;Extended Properties=&quot;&quot;" commandType="0"/>
  </connection>
  <connection id="60" xr16:uid="{3F7B9700-C642-43AE-BAC5-5B61B054FC4B}" keepAlive="1" name="接続151" type="5" refreshedVersion="0" background="1">
    <dbPr connection="Provider=Microsoft.Mashup.OleDb.1;Data Source=$Workbook$;Location=PDFImport_260325_192021;Extended Properties=&quot;&quot;" commandType="0"/>
  </connection>
  <connection id="61" xr16:uid="{00DCCADA-3565-43A6-B33E-EB4860FE60FD}" keepAlive="1" name="接続152" type="5" refreshedVersion="0" background="1">
    <dbPr connection="Provider=Microsoft.Mashup.OleDb.1;Data Source=$Workbook$;Location=PDFImport_260325_192045;Extended Properties=&quot;&quot;" commandType="0"/>
  </connection>
  <connection id="62" xr16:uid="{7234D6F2-D27C-468E-8EB5-23A7B0FDE6A2}" keepAlive="1" name="接続153" type="5" refreshedVersion="0" background="1">
    <dbPr connection="Provider=Microsoft.Mashup.OleDb.1;Data Source=$Workbook$;Location=PDFImport_260325_192228;Extended Properties=&quot;&quot;" commandType="0"/>
  </connection>
  <connection id="63" xr16:uid="{EEE8DF09-1700-4E84-A401-72A8C93C2B10}" keepAlive="1" name="接続154" type="5" refreshedVersion="0" background="1">
    <dbPr connection="Provider=Microsoft.Mashup.OleDb.1;Data Source=$Workbook$;Location=PDFImport_260325_194312;Extended Properties=&quot;&quot;" commandType="0"/>
  </connection>
  <connection id="64" xr16:uid="{75EDD422-FE7B-432D-BB12-126A80ED07C4}" keepAlive="1" name="接続155" type="5" refreshedVersion="0" background="1">
    <dbPr connection="Provider=Microsoft.Mashup.OleDb.1;Data Source=$Workbook$;Location=PDFImport_260325_194645;Extended Properties=&quot;&quot;" commandType="0"/>
  </connection>
  <connection id="65" xr16:uid="{F18A25EF-0394-4057-BDFE-954FC6C8CDC8}" keepAlive="1" name="接続156" type="5" refreshedVersion="0" background="1">
    <dbPr connection="Provider=Microsoft.Mashup.OleDb.1;Data Source=$Workbook$;Location=PDFImport_260325_195644;Extended Properties=&quot;&quot;" commandType="0"/>
  </connection>
  <connection id="66" xr16:uid="{FC44585B-8481-4DFB-91CF-F016506AE348}" keepAlive="1" name="接続157" type="5" refreshedVersion="0" background="1">
    <dbPr connection="Provider=Microsoft.Mashup.OleDb.1;Data Source=$Workbook$;Location=PDFImport_260325_200401;Extended Properties=&quot;&quot;" commandType="0"/>
  </connection>
  <connection id="67" xr16:uid="{831B108F-B065-422F-B7C5-E527EE3D6F99}" keepAlive="1" name="接続158" type="5" refreshedVersion="0" background="1">
    <dbPr connection="Provider=Microsoft.Mashup.OleDb.1;Data Source=$Workbook$;Location=PDFImport_260325_201458;Extended Properties=&quot;&quot;" commandType="0"/>
  </connection>
  <connection id="68" xr16:uid="{F6808F89-2119-49E5-AF75-B31E1AA05CB7}" keepAlive="1" name="接続159" type="5" refreshedVersion="0" background="1">
    <dbPr connection="Provider=Microsoft.Mashup.OleDb.1;Data Source=$Workbook$;Location=PDFImport_260325_202259;Extended Properties=&quot;&quot;" commandType="0"/>
  </connection>
  <connection id="69" xr16:uid="{6D4A9A28-27C6-42B7-A67C-02F909BD7A46}" keepAlive="1" name="接続16" type="5" refreshedVersion="0" background="1">
    <dbPr connection="Provider=Microsoft.Mashup.OleDb.1;Data Source=$Workbook$;Location=PDFImport_260320_173859;Extended Properties=&quot;&quot;" commandType="0"/>
  </connection>
  <connection id="70" xr16:uid="{21E89B3E-C45C-4E84-B78F-A244AA7A82D6}" keepAlive="1" name="接続160" type="5" refreshedVersion="0" background="1">
    <dbPr connection="Provider=Microsoft.Mashup.OleDb.1;Data Source=$Workbook$;Location=PDFImport_260325_203333;Extended Properties=&quot;&quot;" commandType="0"/>
  </connection>
  <connection id="71" xr16:uid="{7647F6C1-CAB4-47FC-8C4F-4BD113089B0D}" keepAlive="1" name="接続161" type="5" refreshedVersion="0" background="1">
    <dbPr connection="Provider=Microsoft.Mashup.OleDb.1;Data Source=$Workbook$;Location=PDFImport_260325_204759;Extended Properties=&quot;&quot;" commandType="0"/>
  </connection>
  <connection id="72" xr16:uid="{0AF2D2A2-6358-4A6F-8557-21430C9DCB52}" keepAlive="1" name="接続162" type="5" refreshedVersion="0" background="1">
    <dbPr connection="Provider=Microsoft.Mashup.OleDb.1;Data Source=$Workbook$;Location=PDFImport_260325_210018;Extended Properties=&quot;&quot;" commandType="0"/>
  </connection>
  <connection id="73" xr16:uid="{1FC0E731-C084-4CE0-B11B-4B35B89F3823}" keepAlive="1" name="接続163" type="5" refreshedVersion="0" background="1">
    <dbPr connection="Provider=Microsoft.Mashup.OleDb.1;Data Source=$Workbook$;Location=PDFImport_260325_210045;Extended Properties=&quot;&quot;" commandType="0"/>
  </connection>
  <connection id="74" xr16:uid="{93B9E56D-ABA8-4F0E-94A4-8E6F64A7AE8D}" keepAlive="1" name="接続164" type="5" refreshedVersion="0" background="1">
    <dbPr connection="Provider=Microsoft.Mashup.OleDb.1;Data Source=$Workbook$;Location=PDFImport_260325_210058;Extended Properties=&quot;&quot;" commandType="0"/>
  </connection>
  <connection id="75" xr16:uid="{8026E07C-5471-4D74-A33E-8640ADC42B1A}" keepAlive="1" name="接続165" type="5" refreshedVersion="0" background="1">
    <dbPr connection="Provider=Microsoft.Mashup.OleDb.1;Data Source=$Workbook$;Location=PDFImport_260325_210142;Extended Properties=&quot;&quot;" commandType="0"/>
  </connection>
  <connection id="76" xr16:uid="{4DCD3BDE-B638-4379-9B0B-58EA27D93A9D}" keepAlive="1" name="接続166" type="5" refreshedVersion="0" background="1">
    <dbPr connection="Provider=Microsoft.Mashup.OleDb.1;Data Source=$Workbook$;Location=PDFImport_260325_210231;Extended Properties=&quot;&quot;" commandType="0"/>
  </connection>
  <connection id="77" xr16:uid="{7F449812-F9E2-47DC-B987-F0D8F6B11470}" keepAlive="1" name="接続167" type="5" refreshedVersion="0" background="1">
    <dbPr connection="Provider=Microsoft.Mashup.OleDb.1;Data Source=$Workbook$;Location=PDFImport_260325_210247;Extended Properties=&quot;&quot;" commandType="0"/>
  </connection>
  <connection id="78" xr16:uid="{04246D9E-E4A8-4978-906A-9930DE85199B}" keepAlive="1" name="接続168" type="5" refreshedVersion="0" background="1">
    <dbPr connection="Provider=Microsoft.Mashup.OleDb.1;Data Source=$Workbook$;Location=PDFImport_260325_210310;Extended Properties=&quot;&quot;" commandType="0"/>
  </connection>
  <connection id="79" xr16:uid="{33B65625-6363-4580-B34C-9789CA878F99}" keepAlive="1" name="接続169" type="5" refreshedVersion="0" background="1">
    <dbPr connection="Provider=Microsoft.Mashup.OleDb.1;Data Source=$Workbook$;Location=PDFImport_260325_210324;Extended Properties=&quot;&quot;" commandType="0"/>
  </connection>
  <connection id="80" xr16:uid="{E0D25F30-1AF1-4B6D-9FF0-D0D1C6623DA3}" keepAlive="1" name="接続17" type="5" refreshedVersion="0" background="1">
    <dbPr connection="Provider=Microsoft.Mashup.OleDb.1;Data Source=$Workbook$;Location=PDFImport_260320_191032;Extended Properties=&quot;&quot;" commandType="0"/>
  </connection>
  <connection id="81" xr16:uid="{80EF204B-99F0-493C-BC05-53DF593C52C0}" keepAlive="1" name="接続170" type="5" refreshedVersion="0" background="1">
    <dbPr connection="Provider=Microsoft.Mashup.OleDb.1;Data Source=$Workbook$;Location=PDFImport_260325_210607;Extended Properties=&quot;&quot;" commandType="0"/>
  </connection>
  <connection id="82" xr16:uid="{76D0B865-170F-49C5-B70F-AA38C72A3C3D}" keepAlive="1" name="接続171" type="5" refreshedVersion="0" background="1">
    <dbPr connection="Provider=Microsoft.Mashup.OleDb.1;Data Source=$Workbook$;Location=PDFImport_260325_210625;Extended Properties=&quot;&quot;" commandType="0"/>
  </connection>
  <connection id="83" xr16:uid="{2724D07A-5229-40AD-956F-79420D332315}" keepAlive="1" name="接続172" type="5" refreshedVersion="0" background="1">
    <dbPr connection="Provider=Microsoft.Mashup.OleDb.1;Data Source=$Workbook$;Location=PDFImport_260325_211232;Extended Properties=&quot;&quot;" commandType="0"/>
  </connection>
  <connection id="84" xr16:uid="{A3B66CC6-0755-4BC0-AC83-D416B3C46338}" keepAlive="1" name="接続173" type="5" refreshedVersion="0" background="1">
    <dbPr connection="Provider=Microsoft.Mashup.OleDb.1;Data Source=$Workbook$;Location=PDFImport_260325_211326;Extended Properties=&quot;&quot;" commandType="0"/>
  </connection>
  <connection id="85" xr16:uid="{3650BF64-5AEB-471A-8801-7943E6F71591}" keepAlive="1" name="接続174" type="5" refreshedVersion="0" background="1">
    <dbPr connection="Provider=Microsoft.Mashup.OleDb.1;Data Source=$Workbook$;Location=PDFImport_260325_211434;Extended Properties=&quot;&quot;" commandType="0"/>
  </connection>
  <connection id="86" xr16:uid="{C96728B4-393A-4734-8096-634C7F65B22E}" keepAlive="1" name="接続175" type="5" refreshedVersion="0" background="1">
    <dbPr connection="Provider=Microsoft.Mashup.OleDb.1;Data Source=$Workbook$;Location=PDFImport_260325_211629;Extended Properties=&quot;&quot;" commandType="0"/>
  </connection>
  <connection id="87" xr16:uid="{15B8FA1F-25EB-438F-8E8B-74A8B9852EC4}" keepAlive="1" name="接続176" type="5" refreshedVersion="0" background="1">
    <dbPr connection="Provider=Microsoft.Mashup.OleDb.1;Data Source=$Workbook$;Location=PDFImport_260325_230146;Extended Properties=&quot;&quot;" commandType="0"/>
  </connection>
  <connection id="88" xr16:uid="{3DE1C98A-6FAE-4B35-B2EA-32F3D1A7871B}" keepAlive="1" name="接続177" type="5" refreshedVersion="0" background="1">
    <dbPr connection="Provider=Microsoft.Mashup.OleDb.1;Data Source=$Workbook$;Location=PDFImport_260325_230321;Extended Properties=&quot;&quot;" commandType="0"/>
  </connection>
  <connection id="89" xr16:uid="{DBEB6A2C-9E66-4E69-90F4-247D22115F72}" keepAlive="1" name="接続178" type="5" refreshedVersion="0" background="1">
    <dbPr connection="Provider=Microsoft.Mashup.OleDb.1;Data Source=$Workbook$;Location=PDFImport_260325_230347;Extended Properties=&quot;&quot;" commandType="0"/>
  </connection>
  <connection id="90" xr16:uid="{950944DE-6155-4FB0-958D-E21B7F53BD80}" keepAlive="1" name="接続179" type="5" refreshedVersion="0" background="1">
    <dbPr connection="Provider=Microsoft.Mashup.OleDb.1;Data Source=$Workbook$;Location=PDFImport_260325_230445;Extended Properties=&quot;&quot;" commandType="0"/>
  </connection>
  <connection id="91" xr16:uid="{09BE97B3-54BB-4A7A-A0AD-02CB10D0BF2E}" keepAlive="1" name="接続18" type="5" refreshedVersion="0" background="1">
    <dbPr connection="Provider=Microsoft.Mashup.OleDb.1;Data Source=$Workbook$;Location=PDFImport_260320_195751;Extended Properties=&quot;&quot;" commandType="0"/>
  </connection>
  <connection id="92" xr16:uid="{9304AE0B-1074-4DAB-97F0-9A35914C1C30}" keepAlive="1" name="接続180" type="5" refreshedVersion="0" background="1">
    <dbPr connection="Provider=Microsoft.Mashup.OleDb.1;Data Source=$Workbook$;Location=PDFImport_260325_230533;Extended Properties=&quot;&quot;" commandType="0"/>
  </connection>
  <connection id="93" xr16:uid="{6897261B-1AD2-4C1A-BE73-56AC96ECC435}" keepAlive="1" name="接続181" type="5" refreshedVersion="0" background="1">
    <dbPr connection="Provider=Microsoft.Mashup.OleDb.1;Data Source=$Workbook$;Location=PDFImport_260325_230558;Extended Properties=&quot;&quot;" commandType="0"/>
  </connection>
  <connection id="94" xr16:uid="{1037E970-A307-4B43-886F-D1C274EDE58A}" keepAlive="1" name="接続182" type="5" refreshedVersion="0" background="1">
    <dbPr connection="Provider=Microsoft.Mashup.OleDb.1;Data Source=$Workbook$;Location=PDFImport_260325_230616;Extended Properties=&quot;&quot;" commandType="0"/>
  </connection>
  <connection id="95" xr16:uid="{97FC10E6-03F8-4EDD-B4B2-DB8C4D6F3DEB}" keepAlive="1" name="接続183" type="5" refreshedVersion="0" background="1">
    <dbPr connection="Provider=Microsoft.Mashup.OleDb.1;Data Source=$Workbook$;Location=PDFImport_260325_231442;Extended Properties=&quot;&quot;" commandType="0"/>
  </connection>
  <connection id="96" xr16:uid="{2D6B387F-8FC1-4692-9F3C-6E2361EC7E3F}" keepAlive="1" name="接続184" type="5" refreshedVersion="0" background="1">
    <dbPr connection="Provider=Microsoft.Mashup.OleDb.1;Data Source=$Workbook$;Location=PDFImport_260325_231510;Extended Properties=&quot;&quot;" commandType="0"/>
  </connection>
  <connection id="97" xr16:uid="{30D1122E-773F-4CE5-A79C-F224546ED501}" keepAlive="1" name="接続185" type="5" refreshedVersion="0" background="1">
    <dbPr connection="Provider=Microsoft.Mashup.OleDb.1;Data Source=$Workbook$;Location=PDFImport_260325_231640;Extended Properties=&quot;&quot;" commandType="0"/>
  </connection>
  <connection id="98" xr16:uid="{E9743B41-B993-4686-9B19-A274A9D94552}" keepAlive="1" name="接続186" type="5" refreshedVersion="0" background="1">
    <dbPr connection="Provider=Microsoft.Mashup.OleDb.1;Data Source=$Workbook$;Location=PDFImport_260325_232035;Extended Properties=&quot;&quot;" commandType="0"/>
  </connection>
  <connection id="99" xr16:uid="{16236DE8-0C4F-42FC-84A5-D1B243C0371D}" keepAlive="1" name="接続187" type="5" refreshedVersion="0" background="1">
    <dbPr connection="Provider=Microsoft.Mashup.OleDb.1;Data Source=$Workbook$;Location=PDFImport_260325_232100;Extended Properties=&quot;&quot;" commandType="0"/>
  </connection>
  <connection id="100" xr16:uid="{825E72ED-CD4D-43BC-9BA8-4BF0145619DA}" keepAlive="1" name="接続188" type="5" refreshedVersion="0" background="1">
    <dbPr connection="Provider=Microsoft.Mashup.OleDb.1;Data Source=$Workbook$;Location=PDFImport_260325_232143;Extended Properties=&quot;&quot;" commandType="0"/>
  </connection>
  <connection id="101" xr16:uid="{21CD5118-3C60-47BD-9794-D51342109FDF}" keepAlive="1" name="接続189" type="5" refreshedVersion="0" background="1">
    <dbPr connection="Provider=Microsoft.Mashup.OleDb.1;Data Source=$Workbook$;Location=PDFImport_260326_000906;Extended Properties=&quot;&quot;" commandType="0"/>
  </connection>
  <connection id="102" xr16:uid="{39F7D62D-2204-4C55-9CB9-80095D8D8634}" keepAlive="1" name="接続19" type="5" refreshedVersion="0" background="1">
    <dbPr connection="Provider=Microsoft.Mashup.OleDb.1;Data Source=$Workbook$;Location=PDFImport_260320_200245;Extended Properties=&quot;&quot;" commandType="0"/>
  </connection>
  <connection id="103" xr16:uid="{0CB97635-E8E6-4F1B-80E1-21CC174A21E1}" keepAlive="1" name="接続190" type="5" refreshedVersion="0" background="1">
    <dbPr connection="Provider=Microsoft.Mashup.OleDb.1;Data Source=$Workbook$;Location=PDFImport_260326_001710;Extended Properties=&quot;&quot;" commandType="0"/>
  </connection>
  <connection id="104" xr16:uid="{8C419C34-8A93-440C-96C7-82A4E9C490FD}" keepAlive="1" name="接続191" type="5" refreshedVersion="0" background="1">
    <dbPr connection="Provider=Microsoft.Mashup.OleDb.1;Data Source=$Workbook$;Location=PDFImport_260326_001729;Extended Properties=&quot;&quot;" commandType="0"/>
  </connection>
  <connection id="105" xr16:uid="{F07F5FDC-3B07-49C8-A756-87A39FB642A2}" keepAlive="1" name="接続192" type="5" refreshedVersion="0" background="1">
    <dbPr connection="Provider=Microsoft.Mashup.OleDb.1;Data Source=$Workbook$;Location=PDFImport_260326_001753;Extended Properties=&quot;&quot;" commandType="0"/>
  </connection>
  <connection id="106" xr16:uid="{099E69C2-B874-4509-9EF4-2F649873795C}" keepAlive="1" name="接続193" type="5" refreshedVersion="0" background="1">
    <dbPr connection="Provider=Microsoft.Mashup.OleDb.1;Data Source=$Workbook$;Location=PDFImport_260326_004514;Extended Properties=&quot;&quot;" commandType="0"/>
  </connection>
  <connection id="107" xr16:uid="{8B22E332-735F-4908-A5D4-9958A3635028}" keepAlive="1" name="接続194" type="5" refreshedVersion="0" background="1">
    <dbPr connection="Provider=Microsoft.Mashup.OleDb.1;Data Source=$Workbook$;Location=PDFImport_260326_005718;Extended Properties=&quot;&quot;" commandType="0"/>
  </connection>
  <connection id="108" xr16:uid="{D2F8F1E8-D298-40EF-998B-B3E5C9A5EDCB}" keepAlive="1" name="接続195" type="5" refreshedVersion="0" background="1">
    <dbPr connection="Provider=Microsoft.Mashup.OleDb.1;Data Source=$Workbook$;Location=PDFImport_260326_005730;Extended Properties=&quot;&quot;" commandType="0"/>
  </connection>
  <connection id="109" xr16:uid="{D5D5F0A0-65F9-403D-84D1-BC544BA49765}" keepAlive="1" name="接続196" type="5" refreshedVersion="0" background="1">
    <dbPr connection="Provider=Microsoft.Mashup.OleDb.1;Data Source=$Workbook$;Location=PDFImport_260326_092556;Extended Properties=&quot;&quot;" commandType="0"/>
  </connection>
  <connection id="110" xr16:uid="{4137A36E-97F9-4E24-A7D4-47847A09D76B}" keepAlive="1" name="接続197" type="5" refreshedVersion="0" background="1">
    <dbPr connection="Provider=Microsoft.Mashup.OleDb.1;Data Source=$Workbook$;Location=PDFImport_260326_092840;Extended Properties=&quot;&quot;" commandType="0"/>
  </connection>
  <connection id="111" xr16:uid="{E9ED45CB-3094-464D-88DB-1C7DA86952DB}" keepAlive="1" name="接続198" type="5" refreshedVersion="0" background="1">
    <dbPr connection="Provider=Microsoft.Mashup.OleDb.1;Data Source=$Workbook$;Location=PDFImport_260326_093246;Extended Properties=&quot;&quot;" commandType="0"/>
  </connection>
  <connection id="112" xr16:uid="{5FDA3041-F1C9-4381-A544-A68DC2F85BEA}" keepAlive="1" name="接続199" type="5" refreshedVersion="0" background="1">
    <dbPr connection="Provider=Microsoft.Mashup.OleDb.1;Data Source=$Workbook$;Location=PDFImport_260326_101349;Extended Properties=&quot;&quot;" commandType="0"/>
  </connection>
  <connection id="113" xr16:uid="{4A3F7FA1-4965-4036-A20A-D052762E3140}" keepAlive="1" name="接続2" type="5" refreshedVersion="0" background="1">
    <dbPr connection="Provider=Microsoft.Mashup.OleDb.1;Data Source=$Workbook$;Location=PDFImport_260319_204427;Extended Properties=&quot;&quot;" commandType="0"/>
  </connection>
  <connection id="114" xr16:uid="{6C661945-4C95-4B7B-8266-A6D4A43036D9}" keepAlive="1" name="接続20" type="5" refreshedVersion="0" background="1">
    <dbPr connection="Provider=Microsoft.Mashup.OleDb.1;Data Source=$Workbook$;Location=PDFImport_260320_200320;Extended Properties=&quot;&quot;" commandType="0"/>
  </connection>
  <connection id="115" xr16:uid="{04D68B4F-7B75-4092-9117-794AF473B53B}" keepAlive="1" name="接続200" type="5" refreshedVersion="0" background="1">
    <dbPr connection="Provider=Microsoft.Mashup.OleDb.1;Data Source=$Workbook$;Location=PDFImport_260326_110551;Extended Properties=&quot;&quot;" commandType="0"/>
  </connection>
  <connection id="116" xr16:uid="{754FE998-9480-43C0-A89E-AF03207103E0}" keepAlive="1" name="接続201" type="5" refreshedVersion="0" background="1">
    <dbPr connection="Provider=Microsoft.Mashup.OleDb.1;Data Source=$Workbook$;Location=PDFImport_260326_112402;Extended Properties=&quot;&quot;" commandType="0"/>
  </connection>
  <connection id="117" xr16:uid="{B9F60840-255A-4BE2-B208-C5BEB2BA44EC}" keepAlive="1" name="接続202" type="5" refreshedVersion="0" background="1">
    <dbPr connection="Provider=Microsoft.Mashup.OleDb.1;Data Source=$Workbook$;Location=PDFImport_260326_112417;Extended Properties=&quot;&quot;" commandType="0"/>
  </connection>
  <connection id="118" xr16:uid="{171B4BF0-3CC8-4D7B-B92F-B8BB893A9E42}" keepAlive="1" name="接続203" type="5" refreshedVersion="0" background="1">
    <dbPr connection="Provider=Microsoft.Mashup.OleDb.1;Data Source=$Workbook$;Location=PDFImport_260326_180306;Extended Properties=&quot;&quot;" commandType="0"/>
  </connection>
  <connection id="119" xr16:uid="{C5310BF8-EB42-4190-8861-F36F11D8AF36}" keepAlive="1" name="接続204" type="5" refreshedVersion="0" background="1">
    <dbPr connection="Provider=Microsoft.Mashup.OleDb.1;Data Source=$Workbook$;Location=PDFImport_260326_180338;Extended Properties=&quot;&quot;" commandType="0"/>
  </connection>
  <connection id="120" xr16:uid="{0793CC16-5EFA-4F12-A0BE-D3C895B75784}" keepAlive="1" name="接続205" type="5" refreshedVersion="0" background="1">
    <dbPr connection="Provider=Microsoft.Mashup.OleDb.1;Data Source=$Workbook$;Location=PDFImport_260326_180353;Extended Properties=&quot;&quot;" commandType="0"/>
  </connection>
  <connection id="121" xr16:uid="{A756AEB9-95B7-4553-93CE-4C013F037216}" keepAlive="1" name="接続206" type="5" refreshedVersion="0" background="1">
    <dbPr connection="Provider=Microsoft.Mashup.OleDb.1;Data Source=$Workbook$;Location=PDFImport_260326_180622;Extended Properties=&quot;&quot;" commandType="0"/>
  </connection>
  <connection id="122" xr16:uid="{5CFE6284-A168-4927-B0E9-466F1CC96237}" keepAlive="1" name="接続207" type="5" refreshedVersion="0" background="1">
    <dbPr connection="Provider=Microsoft.Mashup.OleDb.1;Data Source=$Workbook$;Location=PDFImport_260326_180646;Extended Properties=&quot;&quot;" commandType="0"/>
  </connection>
  <connection id="123" xr16:uid="{CAE6914A-FCBC-4CE9-9280-739149E94D80}" keepAlive="1" name="接続208" type="5" refreshedVersion="0" background="1">
    <dbPr connection="Provider=Microsoft.Mashup.OleDb.1;Data Source=$Workbook$;Location=PDFImport_260326_181901;Extended Properties=&quot;&quot;" commandType="0"/>
  </connection>
  <connection id="124" xr16:uid="{27CB85CD-4133-470E-8317-85B769B807AE}" keepAlive="1" name="接続209" type="5" refreshedVersion="0" background="1">
    <dbPr connection="Provider=Microsoft.Mashup.OleDb.1;Data Source=$Workbook$;Location=PDFImport_260326_181928;Extended Properties=&quot;&quot;" commandType="0"/>
  </connection>
  <connection id="125" xr16:uid="{9F0AD3D4-7A81-4FB6-AAAF-52234BF1C31B}" keepAlive="1" name="接続21" type="5" refreshedVersion="0" background="1">
    <dbPr connection="Provider=Microsoft.Mashup.OleDb.1;Data Source=$Workbook$;Location=PDFImport_260320_202638;Extended Properties=&quot;&quot;" commandType="0"/>
  </connection>
  <connection id="126" xr16:uid="{FF6E0770-04A2-45AE-AE1F-60AF5E92E6B7}" keepAlive="1" name="接続210" type="5" refreshedVersion="0" background="1">
    <dbPr connection="Provider=Microsoft.Mashup.OleDb.1;Data Source=$Workbook$;Location=PDFImport_260326_182723;Extended Properties=&quot;&quot;" commandType="0"/>
  </connection>
  <connection id="127" xr16:uid="{4031D8EF-59F1-41E4-9E46-7DB58D2266DD}" keepAlive="1" name="接続211" type="5" refreshedVersion="0" background="1">
    <dbPr connection="Provider=Microsoft.Mashup.OleDb.1;Data Source=$Workbook$;Location=PDFImport_260326_182827;Extended Properties=&quot;&quot;" commandType="0"/>
  </connection>
  <connection id="128" xr16:uid="{C3974D7D-0849-4DA3-97A0-9E0923697097}" keepAlive="1" name="接続212" type="5" refreshedVersion="0" background="1">
    <dbPr connection="Provider=Microsoft.Mashup.OleDb.1;Data Source=$Workbook$;Location=PDFImport_260326_183355;Extended Properties=&quot;&quot;" commandType="0"/>
  </connection>
  <connection id="129" xr16:uid="{4DC3342E-498F-443E-A5E9-A2E5D1D707D9}" keepAlive="1" name="接続213" type="5" refreshedVersion="0" background="1">
    <dbPr connection="Provider=Microsoft.Mashup.OleDb.1;Data Source=$Workbook$;Location=PDFImport_260326_183423;Extended Properties=&quot;&quot;" commandType="0"/>
  </connection>
  <connection id="130" xr16:uid="{8E10EA77-4E01-403C-8E88-C014A21C3F36}" keepAlive="1" name="接続214" type="5" refreshedVersion="0" background="1">
    <dbPr connection="Provider=Microsoft.Mashup.OleDb.1;Data Source=$Workbook$;Location=PDFImport_260326_183708;Extended Properties=&quot;&quot;" commandType="0"/>
  </connection>
  <connection id="131" xr16:uid="{1F9FA13A-5F71-412E-9FBD-447003E33A31}" keepAlive="1" name="接続215" type="5" refreshedVersion="0" background="1">
    <dbPr connection="Provider=Microsoft.Mashup.OleDb.1;Data Source=$Workbook$;Location=PDFImport_260326_190902;Extended Properties=&quot;&quot;" commandType="0"/>
  </connection>
  <connection id="132" xr16:uid="{F33DFEA4-D127-4FF8-AC14-69537606D369}" keepAlive="1" name="接続216" type="5" refreshedVersion="0" background="1">
    <dbPr connection="Provider=Microsoft.Mashup.OleDb.1;Data Source=$Workbook$;Location=PDFImport_260326_190947;Extended Properties=&quot;&quot;" commandType="0"/>
  </connection>
  <connection id="133" xr16:uid="{90A4DC69-09DE-4255-8728-E6AAFD17A93B}" keepAlive="1" name="接続217" type="5" refreshedVersion="0" background="1">
    <dbPr connection="Provider=Microsoft.Mashup.OleDb.1;Data Source=$Workbook$;Location=PDFImport_260326_224700;Extended Properties=&quot;&quot;" commandType="0"/>
  </connection>
  <connection id="134" xr16:uid="{B078D7CA-DBCC-46A2-901D-3B04AA3FC064}" keepAlive="1" name="接続218" type="5" refreshedVersion="0" background="1">
    <dbPr connection="Provider=Microsoft.Mashup.OleDb.1;Data Source=$Workbook$;Location=PDFImport_260326_224715;Extended Properties=&quot;&quot;" commandType="0"/>
  </connection>
  <connection id="135" xr16:uid="{FA1200B8-3435-4137-B4A9-BF9B6A8B5A4D}" keepAlive="1" name="接続219" type="5" refreshedVersion="0" background="1">
    <dbPr connection="Provider=Microsoft.Mashup.OleDb.1;Data Source=$Workbook$;Location=PDFImport_260326_224746;Extended Properties=&quot;&quot;" commandType="0"/>
  </connection>
  <connection id="136" xr16:uid="{4D9038FD-E928-40FA-B971-F01811E7E733}" keepAlive="1" name="接続22" type="5" refreshedVersion="0" background="1">
    <dbPr connection="Provider=Microsoft.Mashup.OleDb.1;Data Source=$Workbook$;Location=PDFImport_260320_221238;Extended Properties=&quot;&quot;" commandType="0"/>
  </connection>
  <connection id="137" xr16:uid="{85155BF2-8A6F-4106-94B5-F7F503E13E41}" keepAlive="1" name="接続220" type="5" refreshedVersion="0" background="1">
    <dbPr connection="Provider=Microsoft.Mashup.OleDb.1;Data Source=$Workbook$;Location=PDFImport_260326_224801;Extended Properties=&quot;&quot;" commandType="0"/>
  </connection>
  <connection id="138" xr16:uid="{AADEF2E2-5490-4825-AD50-9380C9181E3C}" keepAlive="1" name="接続221" type="5" refreshedVersion="0" background="1">
    <dbPr connection="Provider=Microsoft.Mashup.OleDb.1;Data Source=$Workbook$;Location=PDFImport_260326_225835;Extended Properties=&quot;&quot;" commandType="0"/>
  </connection>
  <connection id="139" xr16:uid="{B074363A-8DEF-4F9F-BAEB-2DA91D8B35F1}" keepAlive="1" name="接続222" type="5" refreshedVersion="0" background="1">
    <dbPr connection="Provider=Microsoft.Mashup.OleDb.1;Data Source=$Workbook$;Location=PDFImport_260326_225859;Extended Properties=&quot;&quot;" commandType="0"/>
  </connection>
  <connection id="140" xr16:uid="{7F1AAA98-DD98-426D-ACE6-3B1F9A9A0EC3}" keepAlive="1" name="接続223" type="5" refreshedVersion="0" background="1">
    <dbPr connection="Provider=Microsoft.Mashup.OleDb.1;Data Source=$Workbook$;Location=PDFImport_260330_122903;Extended Properties=&quot;&quot;" commandType="0"/>
  </connection>
  <connection id="141" xr16:uid="{DD6741CF-7438-49E9-91E8-EDC7473570EE}" keepAlive="1" name="接続224" type="5" refreshedVersion="0" background="1">
    <dbPr connection="Provider=Microsoft.Mashup.OleDb.1;Data Source=$Workbook$;Location=PDFImport_260330_123301;Extended Properties=&quot;&quot;" commandType="0"/>
  </connection>
  <connection id="142" xr16:uid="{ED4FEC1B-DB29-4D3D-89DC-030135C5561D}" keepAlive="1" name="接続225" type="5" refreshedVersion="0" background="1">
    <dbPr connection="Provider=Microsoft.Mashup.OleDb.1;Data Source=$Workbook$;Location=PDFImport_260330_135135;Extended Properties=&quot;&quot;" commandType="0"/>
  </connection>
  <connection id="143" xr16:uid="{47733E5E-56BC-451E-A40A-562C68DCF4F4}" keepAlive="1" name="接続226" type="5" refreshedVersion="0" background="1">
    <dbPr connection="Provider=Microsoft.Mashup.OleDb.1;Data Source=$Workbook$;Location=PDFImport_260330_231223;Extended Properties=&quot;&quot;" commandType="0"/>
  </connection>
  <connection id="144" xr16:uid="{436AE4FB-889F-4908-8425-C06EF452D4B6}" keepAlive="1" name="接続227" type="5" refreshedVersion="0" background="1">
    <dbPr connection="Provider=Microsoft.Mashup.OleDb.1;Data Source=$Workbook$;Location=PDFImport_260330_231448;Extended Properties=&quot;&quot;" commandType="0"/>
  </connection>
  <connection id="145" xr16:uid="{FF4A8D27-72D5-43F4-B5D2-20ECAA8059C1}" keepAlive="1" name="接続228" type="5" refreshedVersion="0" background="1">
    <dbPr connection="Provider=Microsoft.Mashup.OleDb.1;Data Source=$Workbook$;Location=PDFImport_260330_231551;Extended Properties=&quot;&quot;" commandType="0"/>
  </connection>
  <connection id="146" xr16:uid="{F8B293DE-38CE-425F-A0E8-41BEB04724C3}" keepAlive="1" name="接続229" type="5" refreshedVersion="0" background="1">
    <dbPr connection="Provider=Microsoft.Mashup.OleDb.1;Data Source=$Workbook$;Location=PDFImport_260330_231803;Extended Properties=&quot;&quot;" commandType="0"/>
  </connection>
  <connection id="147" xr16:uid="{48831037-3662-4941-8B43-905A711BBB85}" keepAlive="1" name="接続23" type="5" refreshedVersion="0" background="1">
    <dbPr connection="Provider=Microsoft.Mashup.OleDb.1;Data Source=$Workbook$;Location=PDFImport_260324_144755;Extended Properties=&quot;&quot;" commandType="0"/>
  </connection>
  <connection id="148" xr16:uid="{10D7C331-46F9-4C6E-8E15-94732B2AAB77}" keepAlive="1" name="接続230" type="5" refreshedVersion="0" background="1">
    <dbPr connection="Provider=Microsoft.Mashup.OleDb.1;Data Source=$Workbook$;Location=PDFImport_260330_233540;Extended Properties=&quot;&quot;" commandType="0"/>
  </connection>
  <connection id="149" xr16:uid="{3FEE64DF-BF4E-4B49-81C0-8B6AD5921E1E}" keepAlive="1" name="接続231" type="5" refreshedVersion="0" background="1">
    <dbPr connection="Provider=Microsoft.Mashup.OleDb.1;Data Source=$Workbook$;Location=PDFImport_260330_233718;Extended Properties=&quot;&quot;" commandType="0"/>
  </connection>
  <connection id="150" xr16:uid="{BB1E3755-9CDA-4522-A383-7C7E62CB54B4}" keepAlive="1" name="接続232" type="5" refreshedVersion="0" background="1">
    <dbPr connection="Provider=Microsoft.Mashup.OleDb.1;Data Source=$Workbook$;Location=PDFImport_260330_233904;Extended Properties=&quot;&quot;" commandType="0"/>
  </connection>
  <connection id="151" xr16:uid="{69B0637C-8C74-40FC-858E-9ECD52F8D6D7}" keepAlive="1" name="接続233" type="5" refreshedVersion="0" background="1">
    <dbPr connection="Provider=Microsoft.Mashup.OleDb.1;Data Source=$Workbook$;Location=PDFImport_260330_234516;Extended Properties=&quot;&quot;" commandType="0"/>
  </connection>
  <connection id="152" xr16:uid="{94FBB55C-2C04-48A8-9583-A8528F8B4A79}" keepAlive="1" name="接続234" type="5" refreshedVersion="0" background="1">
    <dbPr connection="Provider=Microsoft.Mashup.OleDb.1;Data Source=$Workbook$;Location=PDFImport_260330_234752;Extended Properties=&quot;&quot;" commandType="0"/>
  </connection>
  <connection id="153" xr16:uid="{F62765AC-0997-443C-AE3B-EA3A7FFDD289}" keepAlive="1" name="接続235" type="5" refreshedVersion="0" background="1">
    <dbPr connection="Provider=Microsoft.Mashup.OleDb.1;Data Source=$Workbook$;Location=PDFImport_260330_234915;Extended Properties=&quot;&quot;" commandType="0"/>
  </connection>
  <connection id="154" xr16:uid="{42BE3A4F-4C12-430A-9D20-2D36334866BF}" keepAlive="1" name="接続236" type="5" refreshedVersion="0" background="1">
    <dbPr connection="Provider=Microsoft.Mashup.OleDb.1;Data Source=$Workbook$;Location=PDFImport_260330_235121;Extended Properties=&quot;&quot;" commandType="0"/>
  </connection>
  <connection id="155" xr16:uid="{0C7FE56D-BF20-4CA5-B7DC-247809857924}" keepAlive="1" name="接続237" type="5" refreshedVersion="0" background="1">
    <dbPr connection="Provider=Microsoft.Mashup.OleDb.1;Data Source=$Workbook$;Location=PDFImport_260331_001143;Extended Properties=&quot;&quot;" commandType="0"/>
  </connection>
  <connection id="156" xr16:uid="{FF7ECB8D-CF08-4AAB-BE96-32297990A9DF}" keepAlive="1" name="接続238" type="5" refreshedVersion="0" background="1">
    <dbPr connection="Provider=Microsoft.Mashup.OleDb.1;Data Source=$Workbook$;Location=PDFImport_260331_002753;Extended Properties=&quot;&quot;" commandType="0"/>
  </connection>
  <connection id="157" xr16:uid="{4C34ADB5-885A-4FA9-8678-D15026BC3C94}" keepAlive="1" name="接続239" type="5" refreshedVersion="0" background="1">
    <dbPr connection="Provider=Microsoft.Mashup.OleDb.1;Data Source=$Workbook$;Location=PDFImport_260331_003256;Extended Properties=&quot;&quot;" commandType="0"/>
  </connection>
  <connection id="158" xr16:uid="{C5F8FE9C-1716-41C0-9073-6FD830336B52}" keepAlive="1" name="接続24" type="5" refreshedVersion="0" background="1">
    <dbPr connection="Provider=Microsoft.Mashup.OleDb.1;Data Source=$Workbook$;Location=PDFImport_260324_152410;Extended Properties=&quot;&quot;" commandType="0"/>
  </connection>
  <connection id="159" xr16:uid="{99415D8C-177B-4A9C-941D-3C61B4EDD793}" keepAlive="1" name="接続240" type="5" refreshedVersion="0" background="1">
    <dbPr connection="Provider=Microsoft.Mashup.OleDb.1;Data Source=$Workbook$;Location=PDFImport_260331_003456;Extended Properties=&quot;&quot;" commandType="0"/>
  </connection>
  <connection id="160" xr16:uid="{B5A41599-AB06-4718-92E8-089DF755DE84}" keepAlive="1" name="接続241" type="5" refreshedVersion="0" background="1">
    <dbPr connection="Provider=Microsoft.Mashup.OleDb.1;Data Source=$Workbook$;Location=PDFImport_260331_004030;Extended Properties=&quot;&quot;" commandType="0"/>
  </connection>
  <connection id="161" xr16:uid="{26E23DBD-90B1-421F-9997-CDD1EAC02906}" keepAlive="1" name="接続242" type="5" refreshedVersion="0" background="1">
    <dbPr connection="Provider=Microsoft.Mashup.OleDb.1;Data Source=$Workbook$;Location=PDFImport_260331_004410;Extended Properties=&quot;&quot;" commandType="0"/>
  </connection>
  <connection id="162" xr16:uid="{9FE8076A-1009-4AB5-80C9-0B9589EF0A58}" keepAlive="1" name="接続243" type="5" refreshedVersion="0" background="1">
    <dbPr connection="Provider=Microsoft.Mashup.OleDb.1;Data Source=$Workbook$;Location=PDFImport_260331_004554;Extended Properties=&quot;&quot;" commandType="0"/>
  </connection>
  <connection id="163" xr16:uid="{AEEE4698-94E4-41C0-AECD-F0C84EDA77E8}" keepAlive="1" name="接続244" type="5" refreshedVersion="0" background="1">
    <dbPr connection="Provider=Microsoft.Mashup.OleDb.1;Data Source=$Workbook$;Location=PDFImport_260331_004841;Extended Properties=&quot;&quot;" commandType="0"/>
  </connection>
  <connection id="164" xr16:uid="{D07C7DF7-CC58-4B5D-BAE7-7E14A4C8DDE4}" keepAlive="1" name="接続245" type="5" refreshedVersion="0" background="1">
    <dbPr connection="Provider=Microsoft.Mashup.OleDb.1;Data Source=$Workbook$;Location=PDFImport_260331_004953;Extended Properties=&quot;&quot;" commandType="0"/>
  </connection>
  <connection id="165" xr16:uid="{FCB721A5-49FE-4AF0-A962-3B68A29671F7}" keepAlive="1" name="接続246" type="5" refreshedVersion="0" background="1">
    <dbPr connection="Provider=Microsoft.Mashup.OleDb.1;Data Source=$Workbook$;Location=PDFImport_260331_005216;Extended Properties=&quot;&quot;" commandType="0"/>
  </connection>
  <connection id="166" xr16:uid="{444A8A2B-9A28-411C-9F5A-596513DAE290}" keepAlive="1" name="接続247" type="5" refreshedVersion="0" background="1">
    <dbPr connection="Provider=Microsoft.Mashup.OleDb.1;Data Source=$Workbook$;Location=PDFImport_260331_005412;Extended Properties=&quot;&quot;" commandType="0"/>
  </connection>
  <connection id="167" xr16:uid="{93C2AFD3-D3BC-4E26-AFC4-8764EE719417}" keepAlive="1" name="接続248" type="5" refreshedVersion="0" background="1">
    <dbPr connection="Provider=Microsoft.Mashup.OleDb.1;Data Source=$Workbook$;Location=PDFImport_260331_005702;Extended Properties=&quot;&quot;" commandType="0"/>
  </connection>
  <connection id="168" xr16:uid="{C09A21E4-A492-45E1-8C18-DD084F7F2BD1}" keepAlive="1" name="接続249" type="5" refreshedVersion="0" background="1">
    <dbPr connection="Provider=Microsoft.Mashup.OleDb.1;Data Source=$Workbook$;Location=PDFImport_260331_010125;Extended Properties=&quot;&quot;" commandType="0"/>
  </connection>
  <connection id="169" xr16:uid="{C1A1B350-7F92-434C-A528-44767DB1ECD9}" keepAlive="1" name="接続25" type="5" refreshedVersion="0" background="1">
    <dbPr connection="Provider=Microsoft.Mashup.OleDb.1;Data Source=$Workbook$;Location=PDFImport_260324_153627;Extended Properties=&quot;&quot;" commandType="0"/>
  </connection>
  <connection id="170" xr16:uid="{D11AC881-496E-4482-B59F-404ABBF9FA75}" keepAlive="1" name="接続250" type="5" refreshedVersion="0" background="1">
    <dbPr connection="Provider=Microsoft.Mashup.OleDb.1;Data Source=$Workbook$;Location=PDFImport_260331_010245;Extended Properties=&quot;&quot;" commandType="0"/>
  </connection>
  <connection id="171" xr16:uid="{6A0547F4-3E04-408D-A4EB-86D353CB691C}" keepAlive="1" name="接続251" type="5" refreshedVersion="0" background="1">
    <dbPr connection="Provider=Microsoft.Mashup.OleDb.1;Data Source=$Workbook$;Location=PDFImport_260331_010321;Extended Properties=&quot;&quot;" commandType="0"/>
  </connection>
  <connection id="172" xr16:uid="{BD4CB41F-D9BF-418C-ABBE-370FFDA86468}" keepAlive="1" name="接続252" type="5" refreshedVersion="0" background="1">
    <dbPr connection="Provider=Microsoft.Mashup.OleDb.1;Data Source=$Workbook$;Location=PDFImport_260331_010759;Extended Properties=&quot;&quot;" commandType="0"/>
  </connection>
  <connection id="173" xr16:uid="{17BDE6B4-0A1A-4B45-99E8-66340195BFAB}" keepAlive="1" name="接続253" type="5" refreshedVersion="0" background="1">
    <dbPr connection="Provider=Microsoft.Mashup.OleDb.1;Data Source=$Workbook$;Location=PDFImport_260331_010915;Extended Properties=&quot;&quot;" commandType="0"/>
  </connection>
  <connection id="174" xr16:uid="{291E9481-99E6-47A0-AA6C-AB25C36D936F}" keepAlive="1" name="接続254" type="5" refreshedVersion="0" background="1">
    <dbPr connection="Provider=Microsoft.Mashup.OleDb.1;Data Source=$Workbook$;Location=PDFImport_260331_013948;Extended Properties=&quot;&quot;" commandType="0"/>
  </connection>
  <connection id="175" xr16:uid="{27288C57-D23D-45E6-A4B6-DB44734817AD}" keepAlive="1" name="接続255" type="5" refreshedVersion="0" background="1">
    <dbPr connection="Provider=Microsoft.Mashup.OleDb.1;Data Source=$Workbook$;Location=PDFImport_260331_022305;Extended Properties=&quot;&quot;" commandType="0"/>
  </connection>
  <connection id="176" xr16:uid="{B512B354-61F5-4FBD-883C-AF8E48CBD589}" keepAlive="1" name="接続256" type="5" refreshedVersion="0" background="1">
    <dbPr connection="Provider=Microsoft.Mashup.OleDb.1;Data Source=$Workbook$;Location=PDFImport_260331_080531;Extended Properties=&quot;&quot;" commandType="0"/>
  </connection>
  <connection id="177" xr16:uid="{C19F286A-21D4-40FC-ADE0-51A9484391FF}" keepAlive="1" name="接続257" type="5" refreshedVersion="0" background="1">
    <dbPr connection="Provider=Microsoft.Mashup.OleDb.1;Data Source=$Workbook$;Location=PDFImport_260331_211404;Extended Properties=&quot;&quot;" commandType="0"/>
  </connection>
  <connection id="178" xr16:uid="{F277FA2A-9FF5-4EED-BB49-27EF86C08DB5}" keepAlive="1" name="接続258" type="5" refreshedVersion="0" background="1">
    <dbPr connection="Provider=Microsoft.Mashup.OleDb.1;Data Source=$Workbook$;Location=PDFImport_260331_211935;Extended Properties=&quot;&quot;" commandType="0"/>
  </connection>
  <connection id="179" xr16:uid="{42465AA4-504A-49B4-B316-CA7630DF6BC2}" keepAlive="1" name="接続259" type="5" refreshedVersion="0" background="1">
    <dbPr connection="Provider=Microsoft.Mashup.OleDb.1;Data Source=$Workbook$;Location=PDFImport_260331_232458;Extended Properties=&quot;&quot;" commandType="0"/>
  </connection>
  <connection id="180" xr16:uid="{00A10E88-3F95-4A0D-AE65-C8FF07F878BB}" keepAlive="1" name="接続26" type="5" refreshedVersion="0" background="1">
    <dbPr connection="Provider=Microsoft.Mashup.OleDb.1;Data Source=$Workbook$;Location=PDFImport_260324_153827;Extended Properties=&quot;&quot;" commandType="0"/>
  </connection>
  <connection id="181" xr16:uid="{03AA97DD-1ECD-49BE-9D49-4850332AD23E}" keepAlive="1" name="接続260" type="5" refreshedVersion="0" background="1">
    <dbPr connection="Provider=Microsoft.Mashup.OleDb.1;Data Source=$Workbook$;Location=PDFImport_260331_232544;Extended Properties=&quot;&quot;" commandType="0"/>
  </connection>
  <connection id="182" xr16:uid="{1EE7294C-E378-49EA-BF75-3033A2BDF826}" keepAlive="1" name="接続261" type="5" refreshedVersion="0" background="1">
    <dbPr connection="Provider=Microsoft.Mashup.OleDb.1;Data Source=$Workbook$;Location=PDFImport_260331_234014;Extended Properties=&quot;&quot;" commandType="0"/>
  </connection>
  <connection id="183" xr16:uid="{D399A930-5D30-46C5-A7C2-D75FC9EBE586}" keepAlive="1" name="接続262" type="5" refreshedVersion="0" background="1">
    <dbPr connection="Provider=Microsoft.Mashup.OleDb.1;Data Source=$Workbook$;Location=PDFImport_260331_234911;Extended Properties=&quot;&quot;" commandType="0"/>
  </connection>
  <connection id="184" xr16:uid="{E409F677-2D4A-4198-B633-2A2AC3205D03}" keepAlive="1" name="接続263" type="5" refreshedVersion="0" background="1">
    <dbPr connection="Provider=Microsoft.Mashup.OleDb.1;Data Source=$Workbook$;Location=PDFImport_260401_001038;Extended Properties=&quot;&quot;" commandType="0"/>
  </connection>
  <connection id="185" xr16:uid="{9DEFCFAD-07CF-4527-A47E-36D3E4CAD1F4}" keepAlive="1" name="接続264" type="5" refreshedVersion="0" background="1">
    <dbPr connection="Provider=Microsoft.Mashup.OleDb.1;Data Source=$Workbook$;Location=PDFImport_260401_003007;Extended Properties=&quot;&quot;" commandType="0"/>
  </connection>
  <connection id="186" xr16:uid="{4B2580D2-93D9-458F-A897-25509CB5E3BC}" keepAlive="1" name="接続265" type="5" refreshedVersion="0" background="1">
    <dbPr connection="Provider=Microsoft.Mashup.OleDb.1;Data Source=$Workbook$;Location=PDFImport_260401_003640;Extended Properties=&quot;&quot;" commandType="0"/>
  </connection>
  <connection id="187" xr16:uid="{6B92BDBC-389F-48E7-B27B-D053970AF06D}" keepAlive="1" name="接続266" type="5" refreshedVersion="0" background="1">
    <dbPr connection="Provider=Microsoft.Mashup.OleDb.1;Data Source=$Workbook$;Location=PDFImport_260401_003654;Extended Properties=&quot;&quot;" commandType="0"/>
  </connection>
  <connection id="188" xr16:uid="{FCE9D569-5EA1-4A1B-853C-DD2FDB526362}" keepAlive="1" name="接続267" type="5" refreshedVersion="0" background="1">
    <dbPr connection="Provider=Microsoft.Mashup.OleDb.1;Data Source=$Workbook$;Location=PDFImport_260401_003914;Extended Properties=&quot;&quot;" commandType="0"/>
  </connection>
  <connection id="189" xr16:uid="{2001A669-970F-4B37-9FFF-B3A111037648}" keepAlive="1" name="接続268" type="5" refreshedVersion="0" background="1">
    <dbPr connection="Provider=Microsoft.Mashup.OleDb.1;Data Source=$Workbook$;Location=PDFImport_260401_004427;Extended Properties=&quot;&quot;" commandType="0"/>
  </connection>
  <connection id="190" xr16:uid="{8A3CB956-54FC-4084-96CD-E23C238AA01D}" keepAlive="1" name="接続269" type="5" refreshedVersion="0" background="1">
    <dbPr connection="Provider=Microsoft.Mashup.OleDb.1;Data Source=$Workbook$;Location=PDFImport_260401_004547;Extended Properties=&quot;&quot;" commandType="0"/>
  </connection>
  <connection id="191" xr16:uid="{83A108F7-490B-4E16-8E82-83E972F402BE}" keepAlive="1" name="接続27" type="5" refreshedVersion="0" background="1">
    <dbPr connection="Provider=Microsoft.Mashup.OleDb.1;Data Source=$Workbook$;Location=PDFImport_260324_155418;Extended Properties=&quot;&quot;" commandType="0"/>
  </connection>
  <connection id="192" xr16:uid="{0FC0433B-0E34-4200-AD0E-736912F55E07}" keepAlive="1" name="接続270" type="5" refreshedVersion="0" background="1">
    <dbPr connection="Provider=Microsoft.Mashup.OleDb.1;Data Source=$Workbook$;Location=PDFImport_260401_005002;Extended Properties=&quot;&quot;" commandType="0"/>
  </connection>
  <connection id="193" xr16:uid="{DFFFB915-C720-4C3C-8209-F32699F8E1F8}" keepAlive="1" name="接続271" type="5" refreshedVersion="0" background="1">
    <dbPr connection="Provider=Microsoft.Mashup.OleDb.1;Data Source=$Workbook$;Location=PDFImport_260401_005100;Extended Properties=&quot;&quot;" commandType="0"/>
  </connection>
  <connection id="194" xr16:uid="{C1BF1282-B890-485D-BAE7-612B634A74DC}" keepAlive="1" name="接続272" type="5" refreshedVersion="0" background="1">
    <dbPr connection="Provider=Microsoft.Mashup.OleDb.1;Data Source=$Workbook$;Location=PDFImport_260401_005325;Extended Properties=&quot;&quot;" commandType="0"/>
  </connection>
  <connection id="195" xr16:uid="{47907F49-AE1E-4003-9BB5-61E197FE20ED}" keepAlive="1" name="接続273" type="5" refreshedVersion="0" background="1">
    <dbPr connection="Provider=Microsoft.Mashup.OleDb.1;Data Source=$Workbook$;Location=PDFImport_260401_005511;Extended Properties=&quot;&quot;" commandType="0"/>
  </connection>
  <connection id="196" xr16:uid="{B892B97F-1E10-4095-8FFB-968EFFADA14D}" keepAlive="1" name="接続274" type="5" refreshedVersion="0" background="1">
    <dbPr connection="Provider=Microsoft.Mashup.OleDb.1;Data Source=$Workbook$;Location=PDFImport_260401_010011;Extended Properties=&quot;&quot;" commandType="0"/>
  </connection>
  <connection id="197" xr16:uid="{88E7C19D-AD55-4F5F-9B9E-69F0A9F65B78}" keepAlive="1" name="接続275" type="5" refreshedVersion="0" background="1">
    <dbPr connection="Provider=Microsoft.Mashup.OleDb.1;Data Source=$Workbook$;Location=PDFImport_260401_010135;Extended Properties=&quot;&quot;" commandType="0"/>
  </connection>
  <connection id="198" xr16:uid="{14E4EE77-31FF-412A-A8B4-7C1B6345A202}" keepAlive="1" name="接続276" type="5" refreshedVersion="0" background="1">
    <dbPr connection="Provider=Microsoft.Mashup.OleDb.1;Data Source=$Workbook$;Location=PDFImport_260401_010228;Extended Properties=&quot;&quot;" commandType="0"/>
  </connection>
  <connection id="199" xr16:uid="{605966BB-712E-4E49-B5E1-0AC68EEE2CB6}" keepAlive="1" name="接続277" type="5" refreshedVersion="0" background="1">
    <dbPr connection="Provider=Microsoft.Mashup.OleDb.1;Data Source=$Workbook$;Location=PDFImport_260401_010320;Extended Properties=&quot;&quot;" commandType="0"/>
  </connection>
  <connection id="200" xr16:uid="{437C69EA-3DE8-496A-9A15-2A6E872DFD03}" keepAlive="1" name="接続278" type="5" refreshedVersion="0" background="1">
    <dbPr connection="Provider=Microsoft.Mashup.OleDb.1;Data Source=$Workbook$;Location=PDFImport_260401_010531;Extended Properties=&quot;&quot;" commandType="0"/>
  </connection>
  <connection id="201" xr16:uid="{3BE2025F-C930-46BB-B9F5-8E5464A39ED0}" keepAlive="1" name="接続279" type="5" refreshedVersion="0" background="1">
    <dbPr connection="Provider=Microsoft.Mashup.OleDb.1;Data Source=$Workbook$;Location=PDFImport_260401_010545;Extended Properties=&quot;&quot;" commandType="0"/>
  </connection>
  <connection id="202" xr16:uid="{33AC88BC-3FEF-457A-8C5E-8F076E8E58F1}" keepAlive="1" name="接続28" type="5" refreshedVersion="0" background="1">
    <dbPr connection="Provider=Microsoft.Mashup.OleDb.1;Data Source=$Workbook$;Location=PDFImport_260324_155736;Extended Properties=&quot;&quot;" commandType="0"/>
  </connection>
  <connection id="203" xr16:uid="{9B9D80AB-7143-4C41-8A28-76F286DE6C02}" keepAlive="1" name="接続280" type="5" refreshedVersion="0" background="1">
    <dbPr connection="Provider=Microsoft.Mashup.OleDb.1;Data Source=$Workbook$;Location=PDFImport_260401_011023;Extended Properties=&quot;&quot;" commandType="0"/>
  </connection>
  <connection id="204" xr16:uid="{6120EA24-F3FA-4A4E-952F-D700ECECF943}" keepAlive="1" name="接続281" type="5" refreshedVersion="0" background="1">
    <dbPr connection="Provider=Microsoft.Mashup.OleDb.1;Data Source=$Workbook$;Location=PDFImport_260401_011043;Extended Properties=&quot;&quot;" commandType="0"/>
  </connection>
  <connection id="205" xr16:uid="{AC5F70A1-B788-4A7F-A64C-0C46813FF242}" keepAlive="1" name="接続282" type="5" refreshedVersion="0" background="1">
    <dbPr connection="Provider=Microsoft.Mashup.OleDb.1;Data Source=$Workbook$;Location=PDFImport_260401_011115;Extended Properties=&quot;&quot;" commandType="0"/>
  </connection>
  <connection id="206" xr16:uid="{F96C6933-4DEF-422B-89BA-CF150AFC2BB1}" keepAlive="1" name="接続283" type="5" refreshedVersion="0" background="1">
    <dbPr connection="Provider=Microsoft.Mashup.OleDb.1;Data Source=$Workbook$;Location=PDFImport_260401_011140;Extended Properties=&quot;&quot;" commandType="0"/>
  </connection>
  <connection id="207" xr16:uid="{80D0355A-98A7-4742-9F59-58FFD3D977C4}" keepAlive="1" name="接続284" type="5" refreshedVersion="0" background="1">
    <dbPr connection="Provider=Microsoft.Mashup.OleDb.1;Data Source=$Workbook$;Location=PDFImport_260401_011817;Extended Properties=&quot;&quot;" commandType="0"/>
  </connection>
  <connection id="208" xr16:uid="{6BB8C729-C119-4AB5-8D15-9619A0A15169}" keepAlive="1" name="接続285" type="5" refreshedVersion="0" background="1">
    <dbPr connection="Provider=Microsoft.Mashup.OleDb.1;Data Source=$Workbook$;Location=PDFImport_260401_011834;Extended Properties=&quot;&quot;" commandType="0"/>
  </connection>
  <connection id="209" xr16:uid="{49146C40-6E36-4146-9746-50698A3193F0}" keepAlive="1" name="接続286" type="5" refreshedVersion="0" background="1">
    <dbPr connection="Provider=Microsoft.Mashup.OleDb.1;Data Source=$Workbook$;Location=PDFImport_260401_011850;Extended Properties=&quot;&quot;" commandType="0"/>
  </connection>
  <connection id="210" xr16:uid="{4050F837-795A-4754-AE9B-D3018583B6CF}" keepAlive="1" name="接続287" type="5" refreshedVersion="0" background="1">
    <dbPr connection="Provider=Microsoft.Mashup.OleDb.1;Data Source=$Workbook$;Location=PDFImport_260401_011905;Extended Properties=&quot;&quot;" commandType="0"/>
  </connection>
  <connection id="211" xr16:uid="{03ABB0B0-FBC3-4BCE-85E6-CC34044DA17D}" keepAlive="1" name="接続288" type="5" refreshedVersion="0" background="1">
    <dbPr connection="Provider=Microsoft.Mashup.OleDb.1;Data Source=$Workbook$;Location=PDFImport_260401_011945;Extended Properties=&quot;&quot;" commandType="0"/>
  </connection>
  <connection id="212" xr16:uid="{ADF7C2AE-7A94-41B5-9E75-B6E6E92464B8}" keepAlive="1" name="接続289" type="5" refreshedVersion="0" background="1">
    <dbPr connection="Provider=Microsoft.Mashup.OleDb.1;Data Source=$Workbook$;Location=PDFImport_260401_013403;Extended Properties=&quot;&quot;" commandType="0"/>
  </connection>
  <connection id="213" xr16:uid="{427E57DD-16D4-4968-90C1-0E5BDBC4B88E}" keepAlive="1" name="接続29" type="5" refreshedVersion="0" background="1">
    <dbPr connection="Provider=Microsoft.Mashup.OleDb.1;Data Source=$Workbook$;Location=PDFImport_260324_160143;Extended Properties=&quot;&quot;" commandType="0"/>
  </connection>
  <connection id="214" xr16:uid="{A9789305-2A09-4326-B787-3330D508DD6B}" keepAlive="1" name="接続290" type="5" refreshedVersion="0" background="1">
    <dbPr connection="Provider=Microsoft.Mashup.OleDb.1;Data Source=$Workbook$;Location=PDFImport_260401_013423;Extended Properties=&quot;&quot;" commandType="0"/>
  </connection>
  <connection id="215" xr16:uid="{2A2767AD-0774-4880-A78C-87BFA65CAA49}" keepAlive="1" name="接続291" type="5" refreshedVersion="0" background="1">
    <dbPr connection="Provider=Microsoft.Mashup.OleDb.1;Data Source=$Workbook$;Location=PDFImport_260401_013526;Extended Properties=&quot;&quot;" commandType="0"/>
  </connection>
  <connection id="216" xr16:uid="{1C8EB606-F563-4C74-8DE0-97946FB3DCCE}" keepAlive="1" name="接続292" type="5" refreshedVersion="0" background="1">
    <dbPr connection="Provider=Microsoft.Mashup.OleDb.1;Data Source=$Workbook$;Location=PDFImport_260401_013538;Extended Properties=&quot;&quot;" commandType="0"/>
  </connection>
  <connection id="217" xr16:uid="{39FAD684-311F-44A7-A886-7D0D7053CED0}" keepAlive="1" name="接続293" type="5" refreshedVersion="0" background="1">
    <dbPr connection="Provider=Microsoft.Mashup.OleDb.1;Data Source=$Workbook$;Location=PDFImport_260401_014630;Extended Properties=&quot;&quot;" commandType="0"/>
  </connection>
  <connection id="218" xr16:uid="{F6018B90-1273-469A-8F15-59138FC00C89}" keepAlive="1" name="接続294" type="5" refreshedVersion="0" background="1">
    <dbPr connection="Provider=Microsoft.Mashup.OleDb.1;Data Source=$Workbook$;Location=PDFImport_260401_014650;Extended Properties=&quot;&quot;" commandType="0"/>
  </connection>
  <connection id="219" xr16:uid="{B98A2138-9054-4C54-9289-545F629DBA05}" keepAlive="1" name="接続295" type="5" refreshedVersion="0" background="1">
    <dbPr connection="Provider=Microsoft.Mashup.OleDb.1;Data Source=$Workbook$;Location=PDFImport_260401_014708;Extended Properties=&quot;&quot;" commandType="0"/>
  </connection>
  <connection id="220" xr16:uid="{112882C2-E8AF-40A0-A051-9D0E6B299A21}" keepAlive="1" name="接続296" type="5" refreshedVersion="0" background="1">
    <dbPr connection="Provider=Microsoft.Mashup.OleDb.1;Data Source=$Workbook$;Location=PDFImport_260401_014720;Extended Properties=&quot;&quot;" commandType="0"/>
  </connection>
  <connection id="221" xr16:uid="{F948615D-9746-47A4-99A0-DACD70E1B123}" keepAlive="1" name="接続297" type="5" refreshedVersion="0" background="1">
    <dbPr connection="Provider=Microsoft.Mashup.OleDb.1;Data Source=$Workbook$;Location=PDFImport_260401_014819;Extended Properties=&quot;&quot;" commandType="0"/>
  </connection>
  <connection id="222" xr16:uid="{69ED6C7B-ACF7-4330-9DF2-2480A67DF389}" keepAlive="1" name="接続298" type="5" refreshedVersion="0" background="1">
    <dbPr connection="Provider=Microsoft.Mashup.OleDb.1;Data Source=$Workbook$;Location=PDFImport_260401_014950;Extended Properties=&quot;&quot;" commandType="0"/>
  </connection>
  <connection id="223" xr16:uid="{257B9229-64D4-412B-8F7A-D8C13F155A2D}" keepAlive="1" name="接続299" type="5" refreshedVersion="0" background="1">
    <dbPr connection="Provider=Microsoft.Mashup.OleDb.1;Data Source=$Workbook$;Location=PDFImport_260401_015854;Extended Properties=&quot;&quot;" commandType="0"/>
  </connection>
  <connection id="224" xr16:uid="{93C6BB39-A5F8-46E7-BED7-AD2CA3B2677A}" keepAlive="1" name="接続3" type="5" refreshedVersion="0" background="1">
    <dbPr connection="Provider=Microsoft.Mashup.OleDb.1;Data Source=$Workbook$;Location=PDFImport_260319_233643;Extended Properties=&quot;&quot;" commandType="0"/>
  </connection>
  <connection id="225" xr16:uid="{7D56A59B-044D-4BB0-BF9E-ACBF68FE0091}" keepAlive="1" name="接続30" type="5" refreshedVersion="0" background="1">
    <dbPr connection="Provider=Microsoft.Mashup.OleDb.1;Data Source=$Workbook$;Location=PDFImport_260324_160525;Extended Properties=&quot;&quot;" commandType="0"/>
  </connection>
  <connection id="226" xr16:uid="{656626C7-D5BA-4C07-BE87-8544D4D3BA57}" keepAlive="1" name="接続300" type="5" refreshedVersion="0" background="1">
    <dbPr connection="Provider=Microsoft.Mashup.OleDb.1;Data Source=$Workbook$;Location=PDFImport_260401_015926;Extended Properties=&quot;&quot;" commandType="0"/>
  </connection>
  <connection id="227" xr16:uid="{93C137B6-E5A4-4483-A1B9-539EC29D123F}" keepAlive="1" name="接続301" type="5" refreshedVersion="0" background="1">
    <dbPr connection="Provider=Microsoft.Mashup.OleDb.1;Data Source=$Workbook$;Location=PDFImport_260401_020016;Extended Properties=&quot;&quot;" commandType="0"/>
  </connection>
  <connection id="228" xr16:uid="{D435038D-6902-4C57-9BF6-A60C911A7B29}" keepAlive="1" name="接続302" type="5" refreshedVersion="0" background="1">
    <dbPr connection="Provider=Microsoft.Mashup.OleDb.1;Data Source=$Workbook$;Location=PDFImport_260401_020028;Extended Properties=&quot;&quot;" commandType="0"/>
  </connection>
  <connection id="229" xr16:uid="{D07F46B9-23BD-42A7-8D10-538414B593AE}" keepAlive="1" name="接続303" type="5" refreshedVersion="0" background="1">
    <dbPr connection="Provider=Microsoft.Mashup.OleDb.1;Data Source=$Workbook$;Location=PDFImport_260401_020408;Extended Properties=&quot;&quot;" commandType="0"/>
  </connection>
  <connection id="230" xr16:uid="{09FC660E-D955-45F8-9B65-EEAEF1A4AAF5}" keepAlive="1" name="接続304" type="5" refreshedVersion="0" background="1">
    <dbPr connection="Provider=Microsoft.Mashup.OleDb.1;Data Source=$Workbook$;Location=PDFImport_260401_020437;Extended Properties=&quot;&quot;" commandType="0"/>
  </connection>
  <connection id="231" xr16:uid="{7FA2539A-FAEE-42F5-BBD4-C4469ABB476B}" keepAlive="1" name="接続305" type="5" refreshedVersion="0" background="1">
    <dbPr connection="Provider=Microsoft.Mashup.OleDb.1;Data Source=$Workbook$;Location=PDFImport_260401_020604;Extended Properties=&quot;&quot;" commandType="0"/>
  </connection>
  <connection id="232" xr16:uid="{23F0FE3F-5DB4-4F7E-A76A-4DF87A9AAE1B}" keepAlive="1" name="接続306" type="5" refreshedVersion="0" background="1">
    <dbPr connection="Provider=Microsoft.Mashup.OleDb.1;Data Source=$Workbook$;Location=PDFImport_260401_020703;Extended Properties=&quot;&quot;" commandType="0"/>
  </connection>
  <connection id="233" xr16:uid="{87282302-9478-4107-8B2E-64913284EDFC}" keepAlive="1" name="接続307" type="5" refreshedVersion="0" background="1">
    <dbPr connection="Provider=Microsoft.Mashup.OleDb.1;Data Source=$Workbook$;Location=PDFImport_260401_020742;Extended Properties=&quot;&quot;" commandType="0"/>
  </connection>
  <connection id="234" xr16:uid="{72E4DE05-3A3A-4759-B61D-D2FC523F53BC}" keepAlive="1" name="接続308" type="5" refreshedVersion="0" background="1">
    <dbPr connection="Provider=Microsoft.Mashup.OleDb.1;Data Source=$Workbook$;Location=PDFImport_260401_020756;Extended Properties=&quot;&quot;" commandType="0"/>
  </connection>
  <connection id="235" xr16:uid="{0B0088F3-153B-4D29-8C6B-78181E0CF030}" keepAlive="1" name="接続309" type="5" refreshedVersion="0" background="1">
    <dbPr connection="Provider=Microsoft.Mashup.OleDb.1;Data Source=$Workbook$;Location=PDFImport_260401_020927;Extended Properties=&quot;&quot;" commandType="0"/>
  </connection>
  <connection id="236" xr16:uid="{F325B3AD-ABE5-49B5-AA6A-411606D0F945}" keepAlive="1" name="接続31" type="5" refreshedVersion="0" background="1">
    <dbPr connection="Provider=Microsoft.Mashup.OleDb.1;Data Source=$Workbook$;Location=PDFImport_260324_160711;Extended Properties=&quot;&quot;" commandType="0"/>
  </connection>
  <connection id="237" xr16:uid="{380B98A7-3A1A-4578-AEE6-14FD56CE63FD}" keepAlive="1" name="接続310" type="5" refreshedVersion="0" background="1">
    <dbPr connection="Provider=Microsoft.Mashup.OleDb.1;Data Source=$Workbook$;Location=PDFImport_260401_021055;Extended Properties=&quot;&quot;" commandType="0"/>
  </connection>
  <connection id="238" xr16:uid="{83CAD4A3-D98E-49B2-96EE-F5966BF1FEB6}" keepAlive="1" name="接続311" type="5" refreshedVersion="0" background="1">
    <dbPr connection="Provider=Microsoft.Mashup.OleDb.1;Data Source=$Workbook$;Location=PDFImport_260401_021113;Extended Properties=&quot;&quot;" commandType="0"/>
  </connection>
  <connection id="239" xr16:uid="{698CEA52-EA02-4EEA-ADD6-38FAF4254313}" keepAlive="1" name="接続312" type="5" refreshedVersion="0" background="1">
    <dbPr connection="Provider=Microsoft.Mashup.OleDb.1;Data Source=$Workbook$;Location=PDFImport_260401_021609;Extended Properties=&quot;&quot;" commandType="0"/>
  </connection>
  <connection id="240" xr16:uid="{AFA05C53-5372-4A1D-8588-750D52A9AD97}" keepAlive="1" name="接続313" type="5" refreshedVersion="0" background="1">
    <dbPr connection="Provider=Microsoft.Mashup.OleDb.1;Data Source=$Workbook$;Location=PDFImport_260401_021629;Extended Properties=&quot;&quot;" commandType="0"/>
  </connection>
  <connection id="241" xr16:uid="{BDB6FC53-3985-4712-839E-81D86E9A825D}" keepAlive="1" name="接続314" type="5" refreshedVersion="0" background="1">
    <dbPr connection="Provider=Microsoft.Mashup.OleDb.1;Data Source=$Workbook$;Location=PDFImport_260401_103816;Extended Properties=&quot;&quot;" commandType="0"/>
  </connection>
  <connection id="242" xr16:uid="{E260FEEF-DBAC-4EB3-85B8-D31195838679}" keepAlive="1" name="接続315" type="5" refreshedVersion="0" background="1">
    <dbPr connection="Provider=Microsoft.Mashup.OleDb.1;Data Source=$Workbook$;Location=PDFImport_260401_184210;Extended Properties=&quot;&quot;" commandType="0"/>
  </connection>
  <connection id="243" xr16:uid="{AE67AF3C-DB60-4A55-BF77-91550F3FE51D}" keepAlive="1" name="接続316" type="5" refreshedVersion="0" background="1">
    <dbPr connection="Provider=Microsoft.Mashup.OleDb.1;Data Source=$Workbook$;Location=PDFImport_260401_184247;Extended Properties=&quot;&quot;" commandType="0"/>
  </connection>
  <connection id="244" xr16:uid="{1AC416ED-57D3-453E-9C85-F94FFB5994E5}" keepAlive="1" name="接続317" type="5" refreshedVersion="0" background="1">
    <dbPr connection="Provider=Microsoft.Mashup.OleDb.1;Data Source=$Workbook$;Location=PDFImport_260401_192616;Extended Properties=&quot;&quot;" commandType="0"/>
  </connection>
  <connection id="245" xr16:uid="{CAAB15C4-CCB2-456E-95AB-AE10D7154B11}" keepAlive="1" name="接続318" type="5" refreshedVersion="0" background="1">
    <dbPr connection="Provider=Microsoft.Mashup.OleDb.1;Data Source=$Workbook$;Location=PDFImport_260401_210702;Extended Properties=&quot;&quot;" commandType="0"/>
  </connection>
  <connection id="246" xr16:uid="{8760398C-9C9A-4605-BCBF-F3F1C54D1DA8}" keepAlive="1" name="接続319" type="5" refreshedVersion="0" background="1">
    <dbPr connection="Provider=Microsoft.Mashup.OleDb.1;Data Source=$Workbook$;Location=PDFImport_260401_211254;Extended Properties=&quot;&quot;" commandType="0"/>
  </connection>
  <connection id="247" xr16:uid="{89A876E7-8CC1-4734-AD9D-24C875F84672}" keepAlive="1" name="接続32" type="5" refreshedVersion="0" background="1">
    <dbPr connection="Provider=Microsoft.Mashup.OleDb.1;Data Source=$Workbook$;Location=PDFImport_260324_161240;Extended Properties=&quot;&quot;" commandType="0"/>
  </connection>
  <connection id="248" xr16:uid="{1923D5D2-CDCF-473D-80B6-24502EEBF7BA}" keepAlive="1" name="接続320" type="5" refreshedVersion="0" background="1">
    <dbPr connection="Provider=Microsoft.Mashup.OleDb.1;Data Source=$Workbook$;Location=PDFImport_260401_224646;Extended Properties=&quot;&quot;" commandType="0"/>
  </connection>
  <connection id="249" xr16:uid="{F95BA19B-9D6F-4611-A0AB-E73B7159F418}" keepAlive="1" name="接続33" type="5" refreshedVersion="0" background="1">
    <dbPr connection="Provider=Microsoft.Mashup.OleDb.1;Data Source=$Workbook$;Location=PDFImport_260324_162056;Extended Properties=&quot;&quot;" commandType="0"/>
  </connection>
  <connection id="250" xr16:uid="{C73DACEC-58CD-4DED-B28E-90FFB1D77117}" keepAlive="1" name="接続34" type="5" refreshedVersion="0" background="1">
    <dbPr connection="Provider=Microsoft.Mashup.OleDb.1;Data Source=$Workbook$;Location=PDFImport_260324_165319;Extended Properties=&quot;&quot;" commandType="0"/>
  </connection>
  <connection id="251" xr16:uid="{943C22A1-85A6-46A1-B2B6-E5EA3B1C5329}" keepAlive="1" name="接続35" type="5" refreshedVersion="0" background="1">
    <dbPr connection="Provider=Microsoft.Mashup.OleDb.1;Data Source=$Workbook$;Location=PDFImport_260324_165756;Extended Properties=&quot;&quot;" commandType="0"/>
  </connection>
  <connection id="252" xr16:uid="{C4C70209-C99D-4251-B4C8-75754CEE12DC}" keepAlive="1" name="接続36" type="5" refreshedVersion="0" background="1">
    <dbPr connection="Provider=Microsoft.Mashup.OleDb.1;Data Source=$Workbook$;Location=PDFImport_260324_170217;Extended Properties=&quot;&quot;" commandType="0"/>
  </connection>
  <connection id="253" xr16:uid="{0CDEA701-FE57-4F2B-9B0B-EF4114308007}" keepAlive="1" name="接続37" type="5" refreshedVersion="0" background="1">
    <dbPr connection="Provider=Microsoft.Mashup.OleDb.1;Data Source=$Workbook$;Location=PDFImport_260324_170755;Extended Properties=&quot;&quot;" commandType="0"/>
  </connection>
  <connection id="254" xr16:uid="{C7D06D37-8F98-4A90-A13C-9DBCD7C2B077}" keepAlive="1" name="接続38" type="5" refreshedVersion="0" background="1">
    <dbPr connection="Provider=Microsoft.Mashup.OleDb.1;Data Source=$Workbook$;Location=PDFImport_260324_171237;Extended Properties=&quot;&quot;" commandType="0"/>
  </connection>
  <connection id="255" xr16:uid="{C8BCCF7B-382B-4A08-AF22-307839A8350F}" keepAlive="1" name="接続39" type="5" refreshedVersion="0" background="1">
    <dbPr connection="Provider=Microsoft.Mashup.OleDb.1;Data Source=$Workbook$;Location=PDFImport_260324_174816;Extended Properties=&quot;&quot;" commandType="0"/>
  </connection>
  <connection id="256" xr16:uid="{BAAF174D-721A-42A5-8269-73C25FC6726B}" keepAlive="1" name="接続4" type="5" refreshedVersion="0" background="1">
    <dbPr connection="Provider=Microsoft.Mashup.OleDb.1;Data Source=$Workbook$;Location=PDFImport_260319_235735;Extended Properties=&quot;&quot;" commandType="0"/>
  </connection>
  <connection id="257" xr16:uid="{EB711C0B-E978-4839-A76E-D7FC19469251}" keepAlive="1" name="接続40" type="5" refreshedVersion="0" background="1">
    <dbPr connection="Provider=Microsoft.Mashup.OleDb.1;Data Source=$Workbook$;Location=PDFImport_260324_175421;Extended Properties=&quot;&quot;" commandType="0"/>
  </connection>
  <connection id="258" xr16:uid="{34AA2872-D870-4041-85AB-3752B5593B29}" keepAlive="1" name="接続41" type="5" refreshedVersion="0" background="1">
    <dbPr connection="Provider=Microsoft.Mashup.OleDb.1;Data Source=$Workbook$;Location=PDFImport_260324_180902;Extended Properties=&quot;&quot;" commandType="0"/>
  </connection>
  <connection id="259" xr16:uid="{BC5F8DF4-487F-4B39-8FF5-BF13654D27C1}" keepAlive="1" name="接続42" type="5" refreshedVersion="0" background="1">
    <dbPr connection="Provider=Microsoft.Mashup.OleDb.1;Data Source=$Workbook$;Location=PDFImport_260324_181606;Extended Properties=&quot;&quot;" commandType="0"/>
  </connection>
  <connection id="260" xr16:uid="{37FD3CA2-C257-4B1F-82B6-C102EB785B32}" keepAlive="1" name="接続43" type="5" refreshedVersion="0" background="1">
    <dbPr connection="Provider=Microsoft.Mashup.OleDb.1;Data Source=$Workbook$;Location=PDFImport_260324_182043;Extended Properties=&quot;&quot;" commandType="0"/>
  </connection>
  <connection id="261" xr16:uid="{A17E5B39-89E1-49FF-87FB-E48F4F515535}" keepAlive="1" name="接続44" type="5" refreshedVersion="0" background="1">
    <dbPr connection="Provider=Microsoft.Mashup.OleDb.1;Data Source=$Workbook$;Location=PDFImport_260324_182121;Extended Properties=&quot;&quot;" commandType="0"/>
  </connection>
  <connection id="262" xr16:uid="{3490262F-EB9A-42F2-B82C-39649A94A123}" keepAlive="1" name="接続45" type="5" refreshedVersion="0" background="1">
    <dbPr connection="Provider=Microsoft.Mashup.OleDb.1;Data Source=$Workbook$;Location=PDFImport_260324_182315;Extended Properties=&quot;&quot;" commandType="0"/>
  </connection>
  <connection id="263" xr16:uid="{A184BE54-AA85-4DB5-9A9F-6FDA44DBD719}" keepAlive="1" name="接続46" type="5" refreshedVersion="0" background="1">
    <dbPr connection="Provider=Microsoft.Mashup.OleDb.1;Data Source=$Workbook$;Location=PDFImport_260324_182421;Extended Properties=&quot;&quot;" commandType="0"/>
  </connection>
  <connection id="264" xr16:uid="{5B32701C-275D-4504-89D9-CB2B6D7185CD}" keepAlive="1" name="接続47" type="5" refreshedVersion="0" background="1">
    <dbPr connection="Provider=Microsoft.Mashup.OleDb.1;Data Source=$Workbook$;Location=PDFImport_260324_182532;Extended Properties=&quot;&quot;" commandType="0"/>
  </connection>
  <connection id="265" xr16:uid="{325C80C9-200A-49C3-8CBA-280A06BB47A7}" keepAlive="1" name="接続48" type="5" refreshedVersion="0" background="1">
    <dbPr connection="Provider=Microsoft.Mashup.OleDb.1;Data Source=$Workbook$;Location=PDFImport_260324_182612;Extended Properties=&quot;&quot;" commandType="0"/>
  </connection>
  <connection id="266" xr16:uid="{3D5747F3-E9CB-4110-8B25-6CB7DFA5606D}" keepAlive="1" name="接続49" type="5" refreshedVersion="0" background="1">
    <dbPr connection="Provider=Microsoft.Mashup.OleDb.1;Data Source=$Workbook$;Location=PDFImport_260324_182742;Extended Properties=&quot;&quot;" commandType="0"/>
  </connection>
  <connection id="267" xr16:uid="{61CEBDDB-0898-4371-8E4A-B5DF55E25F65}" keepAlive="1" name="接続5" type="5" refreshedVersion="0" background="1">
    <dbPr connection="Provider=Microsoft.Mashup.OleDb.1;Data Source=$Workbook$;Location=PDFImport_260320_000033;Extended Properties=&quot;&quot;" commandType="0"/>
  </connection>
  <connection id="268" xr16:uid="{A2DF3F7F-679F-428A-9316-6B98E9966819}" keepAlive="1" name="接続50" type="5" refreshedVersion="0" background="1">
    <dbPr connection="Provider=Microsoft.Mashup.OleDb.1;Data Source=$Workbook$;Location=PDFImport_260324_183250;Extended Properties=&quot;&quot;" commandType="0"/>
  </connection>
  <connection id="269" xr16:uid="{6F62A325-1DFA-47F3-9070-017DAC263DC9}" keepAlive="1" name="接続51" type="5" refreshedVersion="0" background="1">
    <dbPr connection="Provider=Microsoft.Mashup.OleDb.1;Data Source=$Workbook$;Location=PDFImport_260324_184304;Extended Properties=&quot;&quot;" commandType="0"/>
  </connection>
  <connection id="270" xr16:uid="{7686A486-388E-40EC-A144-07038F2EA20A}" keepAlive="1" name="接続52" type="5" refreshedVersion="0" background="1">
    <dbPr connection="Provider=Microsoft.Mashup.OleDb.1;Data Source=$Workbook$;Location=PDFImport_260324_185144;Extended Properties=&quot;&quot;" commandType="0"/>
  </connection>
  <connection id="271" xr16:uid="{EC394405-9184-4BFC-B796-10CCF206BAD6}" keepAlive="1" name="接続53" type="5" refreshedVersion="0" background="1">
    <dbPr connection="Provider=Microsoft.Mashup.OleDb.1;Data Source=$Workbook$;Location=PDFImport_260324_185322;Extended Properties=&quot;&quot;" commandType="0"/>
  </connection>
  <connection id="272" xr16:uid="{6EC1C9E4-26AD-424B-B808-FF116FF24887}" keepAlive="1" name="接続54" type="5" refreshedVersion="0" background="1">
    <dbPr connection="Provider=Microsoft.Mashup.OleDb.1;Data Source=$Workbook$;Location=PDFImport_260324_185416;Extended Properties=&quot;&quot;" commandType="0"/>
  </connection>
  <connection id="273" xr16:uid="{5BDD3054-10EB-4DB9-999F-5779FF9BA657}" keepAlive="1" name="接続55" type="5" refreshedVersion="0" background="1">
    <dbPr connection="Provider=Microsoft.Mashup.OleDb.1;Data Source=$Workbook$;Location=PDFImport_260324_185659;Extended Properties=&quot;&quot;" commandType="0"/>
  </connection>
  <connection id="274" xr16:uid="{746739D1-ABE7-4610-979D-65DEACEAB676}" keepAlive="1" name="接続56" type="5" refreshedVersion="0" background="1">
    <dbPr connection="Provider=Microsoft.Mashup.OleDb.1;Data Source=$Workbook$;Location=PDFImport_260324_190032;Extended Properties=&quot;&quot;" commandType="0"/>
  </connection>
  <connection id="275" xr16:uid="{155040D2-5343-47EE-BE74-8CD69E06E4F7}" keepAlive="1" name="接続57" type="5" refreshedVersion="0" background="1">
    <dbPr connection="Provider=Microsoft.Mashup.OleDb.1;Data Source=$Workbook$;Location=PDFImport_260324_191416;Extended Properties=&quot;&quot;" commandType="0"/>
  </connection>
  <connection id="276" xr16:uid="{8CEFDE10-CA08-4A0E-BDC7-A7623FF334EF}" keepAlive="1" name="接続58" type="5" refreshedVersion="0" background="1">
    <dbPr connection="Provider=Microsoft.Mashup.OleDb.1;Data Source=$Workbook$;Location=PDFImport_260324_191623;Extended Properties=&quot;&quot;" commandType="0"/>
  </connection>
  <connection id="277" xr16:uid="{4244FADA-6AB2-4EAD-B9FE-1FD2D23D0A04}" keepAlive="1" name="接続59" type="5" refreshedVersion="0" background="1">
    <dbPr connection="Provider=Microsoft.Mashup.OleDb.1;Data Source=$Workbook$;Location=PDFImport_260324_192420;Extended Properties=&quot;&quot;" commandType="0"/>
  </connection>
  <connection id="278" xr16:uid="{991AFCFC-F61D-4484-91A9-AC497EBC6D54}" keepAlive="1" name="接続6" type="5" refreshedVersion="0" background="1">
    <dbPr connection="Provider=Microsoft.Mashup.OleDb.1;Data Source=$Workbook$;Location=PDFImport_260320_000137;Extended Properties=&quot;&quot;" commandType="0"/>
  </connection>
  <connection id="279" xr16:uid="{76B7FCB6-D02A-4572-9071-E21690823E6E}" keepAlive="1" name="接続60" type="5" refreshedVersion="0" background="1">
    <dbPr connection="Provider=Microsoft.Mashup.OleDb.1;Data Source=$Workbook$;Location=PDFImport_260324_192723;Extended Properties=&quot;&quot;" commandType="0"/>
  </connection>
  <connection id="280" xr16:uid="{ED0716AA-1ACD-43C4-BE7C-43B921AEE82E}" keepAlive="1" name="接続61" type="5" refreshedVersion="0" background="1">
    <dbPr connection="Provider=Microsoft.Mashup.OleDb.1;Data Source=$Workbook$;Location=PDFImport_260324_193602;Extended Properties=&quot;&quot;" commandType="0"/>
  </connection>
  <connection id="281" xr16:uid="{13A4E5F9-4455-42DE-9E02-F4645ACCA9F9}" keepAlive="1" name="接続62" type="5" refreshedVersion="0" background="1">
    <dbPr connection="Provider=Microsoft.Mashup.OleDb.1;Data Source=$Workbook$;Location=PDFImport_260324_193706;Extended Properties=&quot;&quot;" commandType="0"/>
  </connection>
  <connection id="282" xr16:uid="{F0B8E2B4-046F-4FBF-8A39-E7E8AC94B2F2}" keepAlive="1" name="接続63" type="5" refreshedVersion="0" background="1">
    <dbPr connection="Provider=Microsoft.Mashup.OleDb.1;Data Source=$Workbook$;Location=PDFImport_260324_194334;Extended Properties=&quot;&quot;" commandType="0"/>
  </connection>
  <connection id="283" xr16:uid="{5566801A-A6A9-4F1C-9ADA-05E3FB4F8E60}" keepAlive="1" name="接続64" type="5" refreshedVersion="0" background="1">
    <dbPr connection="Provider=Microsoft.Mashup.OleDb.1;Data Source=$Workbook$;Location=PDFImport_260324_225457;Extended Properties=&quot;&quot;" commandType="0"/>
  </connection>
  <connection id="284" xr16:uid="{470C5FFE-BA6A-4781-8FFB-9E3758C11C97}" keepAlive="1" name="接続65" type="5" refreshedVersion="0" background="1">
    <dbPr connection="Provider=Microsoft.Mashup.OleDb.1;Data Source=$Workbook$;Location=PDFImport_260324_225629;Extended Properties=&quot;&quot;" commandType="0"/>
  </connection>
  <connection id="285" xr16:uid="{41BC1230-AF4A-4B0D-A092-4FF17EC27B9E}" keepAlive="1" name="接続66" type="5" refreshedVersion="0" background="1">
    <dbPr connection="Provider=Microsoft.Mashup.OleDb.1;Data Source=$Workbook$;Location=PDFImport_260324_225735;Extended Properties=&quot;&quot;" commandType="0"/>
  </connection>
  <connection id="286" xr16:uid="{0D97D8AB-481A-4314-A91F-E2246E1B6FA9}" keepAlive="1" name="接続67" type="5" refreshedVersion="0" background="1">
    <dbPr connection="Provider=Microsoft.Mashup.OleDb.1;Data Source=$Workbook$;Location=PDFImport_260324_230019;Extended Properties=&quot;&quot;" commandType="0"/>
  </connection>
  <connection id="287" xr16:uid="{E6449022-B0BE-4296-9DFF-53110AD76106}" keepAlive="1" name="接続68" type="5" refreshedVersion="0" background="1">
    <dbPr connection="Provider=Microsoft.Mashup.OleDb.1;Data Source=$Workbook$;Location=PDFImport_260324_230359;Extended Properties=&quot;&quot;" commandType="0"/>
  </connection>
  <connection id="288" xr16:uid="{9A0DD098-620B-400E-B5F9-537AADDFD80C}" keepAlive="1" name="接続69" type="5" refreshedVersion="0" background="1">
    <dbPr connection="Provider=Microsoft.Mashup.OleDb.1;Data Source=$Workbook$;Location=PDFImport_260324_230455;Extended Properties=&quot;&quot;" commandType="0"/>
  </connection>
  <connection id="289" xr16:uid="{812D0BA0-CBA5-4756-A6F9-D6AA648109C3}" keepAlive="1" name="接続7" type="5" refreshedVersion="0" background="1">
    <dbPr connection="Provider=Microsoft.Mashup.OleDb.1;Data Source=$Workbook$;Location=PDFImport_260320_000157;Extended Properties=&quot;&quot;" commandType="0"/>
  </connection>
  <connection id="290" xr16:uid="{A9F43131-C128-4C4E-9A9E-D33FBC613B82}" keepAlive="1" name="接続70" type="5" refreshedVersion="0" background="1">
    <dbPr connection="Provider=Microsoft.Mashup.OleDb.1;Data Source=$Workbook$;Location=PDFImport_260324_230801;Extended Properties=&quot;&quot;" commandType="0"/>
  </connection>
  <connection id="291" xr16:uid="{48233341-0C87-4685-AD2B-A9DAB26CF64F}" keepAlive="1" name="接続71" type="5" refreshedVersion="0" background="1">
    <dbPr connection="Provider=Microsoft.Mashup.OleDb.1;Data Source=$Workbook$;Location=PDFImport_260324_230948;Extended Properties=&quot;&quot;" commandType="0"/>
  </connection>
  <connection id="292" xr16:uid="{352B5449-7B06-412A-972E-3459E64858BC}" keepAlive="1" name="接続72" type="5" refreshedVersion="0" background="1">
    <dbPr connection="Provider=Microsoft.Mashup.OleDb.1;Data Source=$Workbook$;Location=PDFImport_260324_231318;Extended Properties=&quot;&quot;" commandType="0"/>
  </connection>
  <connection id="293" xr16:uid="{17E65103-930B-401B-8D00-621F78BFBC25}" keepAlive="1" name="接続73" type="5" refreshedVersion="0" background="1">
    <dbPr connection="Provider=Microsoft.Mashup.OleDb.1;Data Source=$Workbook$;Location=PDFImport_260324_232655;Extended Properties=&quot;&quot;" commandType="0"/>
  </connection>
  <connection id="294" xr16:uid="{E7FC4BCB-28DC-4227-8160-623FE05DF1E7}" keepAlive="1" name="接続74" type="5" refreshedVersion="0" background="1">
    <dbPr connection="Provider=Microsoft.Mashup.OleDb.1;Data Source=$Workbook$;Location=PDFImport_260324_232745;Extended Properties=&quot;&quot;" commandType="0"/>
  </connection>
  <connection id="295" xr16:uid="{36F82EAF-B3B3-488C-99BA-939D23A5C9E4}" keepAlive="1" name="接続75" type="5" refreshedVersion="0" background="1">
    <dbPr connection="Provider=Microsoft.Mashup.OleDb.1;Data Source=$Workbook$;Location=PDFImport_260324_234814;Extended Properties=&quot;&quot;" commandType="0"/>
  </connection>
  <connection id="296" xr16:uid="{4ADD5AE6-DAEA-4F1D-A5C9-90A51330D2C6}" keepAlive="1" name="接続76" type="5" refreshedVersion="0" background="1">
    <dbPr connection="Provider=Microsoft.Mashup.OleDb.1;Data Source=$Workbook$;Location=PDFImport_260324_234938;Extended Properties=&quot;&quot;" commandType="0"/>
  </connection>
  <connection id="297" xr16:uid="{1DDAF8AC-9F96-45FF-8BFF-0A05618B2FE9}" keepAlive="1" name="接続77" type="5" refreshedVersion="0" background="1">
    <dbPr connection="Provider=Microsoft.Mashup.OleDb.1;Data Source=$Workbook$;Location=PDFImport_260324_235021;Extended Properties=&quot;&quot;" commandType="0"/>
  </connection>
  <connection id="298" xr16:uid="{C9DA0CEF-2038-41FA-B663-C91D69F16681}" keepAlive="1" name="接続78" type="5" refreshedVersion="0" background="1">
    <dbPr connection="Provider=Microsoft.Mashup.OleDb.1;Data Source=$Workbook$;Location=PDFImport_260324_235812;Extended Properties=&quot;&quot;" commandType="0"/>
  </connection>
  <connection id="299" xr16:uid="{F7714A80-A3B2-40ED-9244-B924A9C28C86}" keepAlive="1" name="接続79" type="5" refreshedVersion="0" background="1">
    <dbPr connection="Provider=Microsoft.Mashup.OleDb.1;Data Source=$Workbook$;Location=PDFImport_260324_235845;Extended Properties=&quot;&quot;" commandType="0"/>
  </connection>
  <connection id="300" xr16:uid="{4C7D64A4-2480-445D-8907-7C8AF20814C1}" keepAlive="1" name="接続8" type="5" refreshedVersion="0" background="1">
    <dbPr connection="Provider=Microsoft.Mashup.OleDb.1;Data Source=$Workbook$;Location=PDFImport_260320_133452;Extended Properties=&quot;&quot;" commandType="0"/>
  </connection>
  <connection id="301" xr16:uid="{C8103C62-8417-4E5F-87E3-E7A077F0E2C3}" keepAlive="1" name="接続80" type="5" refreshedVersion="0" background="1">
    <dbPr connection="Provider=Microsoft.Mashup.OleDb.1;Data Source=$Workbook$;Location=PDFImport_260325_000012;Extended Properties=&quot;&quot;" commandType="0"/>
  </connection>
  <connection id="302" xr16:uid="{072E9C2B-1929-463C-BE88-D637662BACC1}" keepAlive="1" name="接続81" type="5" refreshedVersion="0" background="1">
    <dbPr connection="Provider=Microsoft.Mashup.OleDb.1;Data Source=$Workbook$;Location=PDFImport_260325_000657;Extended Properties=&quot;&quot;" commandType="0"/>
  </connection>
  <connection id="303" xr16:uid="{3F59A2ED-B60D-4B0E-AF26-D3012B4E6482}" keepAlive="1" name="接続82" type="5" refreshedVersion="0" background="1">
    <dbPr connection="Provider=Microsoft.Mashup.OleDb.1;Data Source=$Workbook$;Location=PDFImport_260325_000722;Extended Properties=&quot;&quot;" commandType="0"/>
  </connection>
  <connection id="304" xr16:uid="{503296AB-98D2-4285-8D91-2FF53E1E5C5E}" keepAlive="1" name="接続83" type="5" refreshedVersion="0" background="1">
    <dbPr connection="Provider=Microsoft.Mashup.OleDb.1;Data Source=$Workbook$;Location=PDFImport_260325_000814;Extended Properties=&quot;&quot;" commandType="0"/>
  </connection>
  <connection id="305" xr16:uid="{D49B0FE1-69A6-4B32-8A59-E7E4D62A9EB0}" keepAlive="1" name="接続84" type="5" refreshedVersion="0" background="1">
    <dbPr connection="Provider=Microsoft.Mashup.OleDb.1;Data Source=$Workbook$;Location=PDFImport_260325_000838;Extended Properties=&quot;&quot;" commandType="0"/>
  </connection>
  <connection id="306" xr16:uid="{AC5A7B6B-81F1-4025-B3E1-25B2B79575D7}" keepAlive="1" name="接続85" type="5" refreshedVersion="0" background="1">
    <dbPr connection="Provider=Microsoft.Mashup.OleDb.1;Data Source=$Workbook$;Location=PDFImport_260325_000917;Extended Properties=&quot;&quot;" commandType="0"/>
  </connection>
  <connection id="307" xr16:uid="{2C5EBBC6-8B4F-4AEB-9259-3C8F57204E6B}" keepAlive="1" name="接続86" type="5" refreshedVersion="0" background="1">
    <dbPr connection="Provider=Microsoft.Mashup.OleDb.1;Data Source=$Workbook$;Location=PDFImport_260325_000935;Extended Properties=&quot;&quot;" commandType="0"/>
  </connection>
  <connection id="308" xr16:uid="{659046A0-55B8-4B27-90AB-353C3C8BE37D}" keepAlive="1" name="接続87" type="5" refreshedVersion="0" background="1">
    <dbPr connection="Provider=Microsoft.Mashup.OleDb.1;Data Source=$Workbook$;Location=PDFImport_260325_001226;Extended Properties=&quot;&quot;" commandType="0"/>
  </connection>
  <connection id="309" xr16:uid="{AFAD3A85-2112-4D13-B73F-F4F6DD6223BA}" keepAlive="1" name="接続88" type="5" refreshedVersion="0" background="1">
    <dbPr connection="Provider=Microsoft.Mashup.OleDb.1;Data Source=$Workbook$;Location=PDFImport_260325_001326;Extended Properties=&quot;&quot;" commandType="0"/>
  </connection>
  <connection id="310" xr16:uid="{9100E629-0556-41A6-B3AA-59D15B867C2B}" keepAlive="1" name="接続89" type="5" refreshedVersion="0" background="1">
    <dbPr connection="Provider=Microsoft.Mashup.OleDb.1;Data Source=$Workbook$;Location=PDFImport_260325_001543;Extended Properties=&quot;&quot;" commandType="0"/>
  </connection>
  <connection id="311" xr16:uid="{C03C68C9-A518-407D-9EF9-5A453F81BFBB}" keepAlive="1" name="接続9" type="5" refreshedVersion="0" background="1">
    <dbPr connection="Provider=Microsoft.Mashup.OleDb.1;Data Source=$Workbook$;Location=PDFImport_260320_142340;Extended Properties=&quot;&quot;" commandType="0"/>
  </connection>
  <connection id="312" xr16:uid="{12E34CA8-BDB1-4454-B558-DAE690CE64D7}" keepAlive="1" name="接続90" type="5" refreshedVersion="0" background="1">
    <dbPr connection="Provider=Microsoft.Mashup.OleDb.1;Data Source=$Workbook$;Location=PDFImport_260325_002051;Extended Properties=&quot;&quot;" commandType="0"/>
  </connection>
  <connection id="313" xr16:uid="{5DE60D06-BAD9-4DFA-A87E-350DB47CCA6C}" keepAlive="1" name="接続91" type="5" refreshedVersion="0" background="1">
    <dbPr connection="Provider=Microsoft.Mashup.OleDb.1;Data Source=$Workbook$;Location=PDFImport_260325_002139;Extended Properties=&quot;&quot;" commandType="0"/>
  </connection>
  <connection id="314" xr16:uid="{80B31D95-EE55-4960-90BD-ED3E2351E766}" keepAlive="1" name="接続92" type="5" refreshedVersion="0" background="1">
    <dbPr connection="Provider=Microsoft.Mashup.OleDb.1;Data Source=$Workbook$;Location=PDFImport_260325_002222;Extended Properties=&quot;&quot;" commandType="0"/>
  </connection>
  <connection id="315" xr16:uid="{81EE9FCE-19BD-4D49-8E0D-7C07CAFB5E2B}" keepAlive="1" name="接続93" type="5" refreshedVersion="0" background="1">
    <dbPr connection="Provider=Microsoft.Mashup.OleDb.1;Data Source=$Workbook$;Location=PDFImport_260325_002342;Extended Properties=&quot;&quot;" commandType="0"/>
  </connection>
  <connection id="316" xr16:uid="{7907A0FA-2E0E-431D-A1E9-3FBDB15A2635}" keepAlive="1" name="接続94" type="5" refreshedVersion="0" background="1">
    <dbPr connection="Provider=Microsoft.Mashup.OleDb.1;Data Source=$Workbook$;Location=PDFImport_260325_002416;Extended Properties=&quot;&quot;" commandType="0"/>
  </connection>
  <connection id="317" xr16:uid="{FBDAE64D-6725-4BD1-8B86-4EE02DC7ED1E}" keepAlive="1" name="接続95" type="5" refreshedVersion="0" background="1">
    <dbPr connection="Provider=Microsoft.Mashup.OleDb.1;Data Source=$Workbook$;Location=PDFImport_260325_002433;Extended Properties=&quot;&quot;" commandType="0"/>
  </connection>
  <connection id="318" xr16:uid="{EA009483-A664-49E4-AD19-92A16659F9EA}" keepAlive="1" name="接続96" type="5" refreshedVersion="0" background="1">
    <dbPr connection="Provider=Microsoft.Mashup.OleDb.1;Data Source=$Workbook$;Location=PDFImport_260325_002450;Extended Properties=&quot;&quot;" commandType="0"/>
  </connection>
  <connection id="319" xr16:uid="{41B0B2A7-B0A4-4C3E-96E5-106E7F262BB7}" keepAlive="1" name="接続97" type="5" refreshedVersion="0" background="1">
    <dbPr connection="Provider=Microsoft.Mashup.OleDb.1;Data Source=$Workbook$;Location=PDFImport_260325_003224;Extended Properties=&quot;&quot;" commandType="0"/>
  </connection>
  <connection id="320" xr16:uid="{4BF8C596-663E-4820-A814-285C417DAB3E}" keepAlive="1" name="接続98" type="5" refreshedVersion="0" background="1">
    <dbPr connection="Provider=Microsoft.Mashup.OleDb.1;Data Source=$Workbook$;Location=PDFImport_260325_003852;Extended Properties=&quot;&quot;" commandType="0"/>
  </connection>
  <connection id="321" xr16:uid="{D1E9933A-730C-480B-8923-2C0661BB39B0}" keepAlive="1" name="接続99" type="5" refreshedVersion="0" background="1">
    <dbPr connection="Provider=Microsoft.Mashup.OleDb.1;Data Source=$Workbook$;Location=PDFImport_260325_004651;Extended Properties=&quot;&quot;" commandType="0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<sst xmlns="http://schemas.openxmlformats.org/spreadsheetml/2006/main" count="2037" uniqueCount="1000">
  <si>
    <t>邸損</t>
    <rPh sb="0" eb="1">
      <t>テイ</t>
    </rPh>
    <rPh sb="1" eb="2">
      <t>ソン</t>
    </rPh>
    <phoneticPr fontId="1"/>
  </si>
  <si>
    <t>記入セル</t>
    <rPh sb="0" eb="2">
      <t>キニュウ</t>
    </rPh>
    <phoneticPr fontId="1"/>
  </si>
  <si>
    <t>ブック名</t>
    <rPh sb="3" eb="4">
      <t>メイ</t>
    </rPh>
    <phoneticPr fontId="1"/>
  </si>
  <si>
    <t>【営業邸損】 (本社版).xlsm</t>
    <rPh sb="1" eb="3">
      <t>エイギョウ</t>
    </rPh>
    <rPh sb="3" eb="4">
      <t>テイ</t>
    </rPh>
    <rPh sb="4" eb="5">
      <t>ソン</t>
    </rPh>
    <rPh sb="8" eb="10">
      <t>ホンシャ</t>
    </rPh>
    <rPh sb="10" eb="11">
      <t>バン</t>
    </rPh>
    <phoneticPr fontId="1"/>
  </si>
  <si>
    <t>営業邸損</t>
    <rPh sb="0" eb="2">
      <t>エイギョウ</t>
    </rPh>
    <rPh sb="2" eb="3">
      <t>テイ</t>
    </rPh>
    <rPh sb="3" eb="4">
      <t>ゾン</t>
    </rPh>
    <phoneticPr fontId="1"/>
  </si>
  <si>
    <t>シート名2</t>
    <rPh sb="3" eb="4">
      <t>メイ</t>
    </rPh>
    <phoneticPr fontId="1"/>
  </si>
  <si>
    <t>邸名</t>
    <rPh sb="0" eb="1">
      <t>テイ</t>
    </rPh>
    <rPh sb="1" eb="2">
      <t>メイ</t>
    </rPh>
    <phoneticPr fontId="1"/>
  </si>
  <si>
    <t>KW数</t>
    <rPh sb="2" eb="3">
      <t>スウ</t>
    </rPh>
    <phoneticPr fontId="1"/>
  </si>
  <si>
    <t>HEMS</t>
  </si>
  <si>
    <t>WF</t>
  </si>
  <si>
    <t>設備機器</t>
    <rPh sb="0" eb="4">
      <t>セツビキキ</t>
    </rPh>
    <phoneticPr fontId="1"/>
  </si>
  <si>
    <t>その他申請料</t>
    <rPh sb="2" eb="3">
      <t>タ</t>
    </rPh>
    <rPh sb="3" eb="5">
      <t>シンセイ</t>
    </rPh>
    <rPh sb="5" eb="6">
      <t>リョウ</t>
    </rPh>
    <phoneticPr fontId="1"/>
  </si>
  <si>
    <t>カーポート・物置</t>
    <rPh sb="6" eb="8">
      <t>モノオキ</t>
    </rPh>
    <phoneticPr fontId="1"/>
  </si>
  <si>
    <t>D6</t>
    <phoneticPr fontId="1"/>
  </si>
  <si>
    <t>ﾀｲﾌﾟ1</t>
    <phoneticPr fontId="1"/>
  </si>
  <si>
    <t>U数</t>
    <rPh sb="1" eb="2">
      <t>カズ</t>
    </rPh>
    <phoneticPr fontId="2"/>
  </si>
  <si>
    <t>延面積</t>
    <rPh sb="0" eb="1">
      <t>ノ</t>
    </rPh>
    <rPh sb="1" eb="3">
      <t>メンセキ</t>
    </rPh>
    <phoneticPr fontId="2"/>
  </si>
  <si>
    <t>太陽光</t>
    <rPh sb="0" eb="2">
      <t>タイヨウ</t>
    </rPh>
    <rPh sb="2" eb="3">
      <t>ヒカリ</t>
    </rPh>
    <phoneticPr fontId="2"/>
  </si>
  <si>
    <t>建築形態</t>
    <rPh sb="0" eb="2">
      <t>ケンチク</t>
    </rPh>
    <rPh sb="2" eb="4">
      <t>ケイタイ</t>
    </rPh>
    <phoneticPr fontId="2"/>
  </si>
  <si>
    <t>蓄電池</t>
    <rPh sb="0" eb="1">
      <t>チク</t>
    </rPh>
    <rPh sb="1" eb="3">
      <t>デンチ</t>
    </rPh>
    <phoneticPr fontId="2"/>
  </si>
  <si>
    <t>快適</t>
    <rPh sb="0" eb="2">
      <t>カイテキ</t>
    </rPh>
    <phoneticPr fontId="2"/>
  </si>
  <si>
    <t>契約年月</t>
    <rPh sb="0" eb="2">
      <t>ケイヤク</t>
    </rPh>
    <rPh sb="2" eb="3">
      <t>ネン</t>
    </rPh>
    <rPh sb="3" eb="4">
      <t>ヅキ</t>
    </rPh>
    <phoneticPr fontId="2"/>
  </si>
  <si>
    <t>D7</t>
    <phoneticPr fontId="1"/>
  </si>
  <si>
    <t>据付年月</t>
    <rPh sb="0" eb="2">
      <t>スエツケ</t>
    </rPh>
    <rPh sb="2" eb="3">
      <t>ネン</t>
    </rPh>
    <rPh sb="3" eb="4">
      <t>ヅキ</t>
    </rPh>
    <phoneticPr fontId="2"/>
  </si>
  <si>
    <t>D9</t>
    <phoneticPr fontId="1"/>
  </si>
  <si>
    <t>売上年月</t>
    <rPh sb="0" eb="2">
      <t>ウリアゲ</t>
    </rPh>
    <rPh sb="2" eb="3">
      <t>ネン</t>
    </rPh>
    <rPh sb="3" eb="4">
      <t>ツキ</t>
    </rPh>
    <phoneticPr fontId="2"/>
  </si>
  <si>
    <t>D10</t>
    <phoneticPr fontId="1"/>
  </si>
  <si>
    <t>本体材料費A(上代) ※1</t>
    <rPh sb="0" eb="2">
      <t>ホンタイ</t>
    </rPh>
    <rPh sb="2" eb="5">
      <t>ザイリョウヒ</t>
    </rPh>
    <rPh sb="7" eb="9">
      <t>ジョウダイ</t>
    </rPh>
    <phoneticPr fontId="4"/>
  </si>
  <si>
    <t>本体材料費B(減額) ※2</t>
    <rPh sb="0" eb="2">
      <t>ホンタイ</t>
    </rPh>
    <rPh sb="2" eb="5">
      <t>ザイリョウヒ</t>
    </rPh>
    <rPh sb="7" eb="9">
      <t>ゲンガク</t>
    </rPh>
    <phoneticPr fontId="4"/>
  </si>
  <si>
    <t>構造体･屋根･庇</t>
    <rPh sb="0" eb="3">
      <t>コウゾウタイ</t>
    </rPh>
    <rPh sb="4" eb="6">
      <t>ヤネ</t>
    </rPh>
    <rPh sb="7" eb="8">
      <t>ヒサシ</t>
    </rPh>
    <phoneticPr fontId="4"/>
  </si>
  <si>
    <t>&lt;東&gt;SPS対策費_棟</t>
    <phoneticPr fontId="1"/>
  </si>
  <si>
    <t>外壁･開口･外構</t>
    <rPh sb="0" eb="2">
      <t>ガイヘキ</t>
    </rPh>
    <rPh sb="3" eb="5">
      <t>カイコウ</t>
    </rPh>
    <rPh sb="6" eb="7">
      <t>ガイ</t>
    </rPh>
    <rPh sb="7" eb="8">
      <t>コウ</t>
    </rPh>
    <phoneticPr fontId="4"/>
  </si>
  <si>
    <t>内装･階段</t>
    <rPh sb="0" eb="2">
      <t>ナイソウ</t>
    </rPh>
    <rPh sb="3" eb="5">
      <t>カイダン</t>
    </rPh>
    <phoneticPr fontId="4"/>
  </si>
  <si>
    <t>準耐火仕様･防火区画</t>
    <rPh sb="0" eb="1">
      <t>ジュン</t>
    </rPh>
    <rPh sb="1" eb="3">
      <t>タイカ</t>
    </rPh>
    <rPh sb="3" eb="5">
      <t>シヨウ</t>
    </rPh>
    <rPh sb="6" eb="8">
      <t>ボウカ</t>
    </rPh>
    <rPh sb="8" eb="10">
      <t>クカク</t>
    </rPh>
    <phoneticPr fontId="4"/>
  </si>
  <si>
    <t>設備</t>
    <rPh sb="0" eb="2">
      <t>セツビ</t>
    </rPh>
    <phoneticPr fontId="4"/>
  </si>
  <si>
    <t>基礎</t>
    <rPh sb="0" eb="2">
      <t>キソ</t>
    </rPh>
    <phoneticPr fontId="4"/>
  </si>
  <si>
    <t>据付大工工事費その他</t>
    <rPh sb="0" eb="2">
      <t>スエツケ</t>
    </rPh>
    <rPh sb="2" eb="4">
      <t>ダイク</t>
    </rPh>
    <rPh sb="4" eb="7">
      <t>コウジヒ</t>
    </rPh>
    <rPh sb="9" eb="10">
      <t>タ</t>
    </rPh>
    <phoneticPr fontId="4"/>
  </si>
  <si>
    <t>その他工事</t>
    <rPh sb="2" eb="3">
      <t>タ</t>
    </rPh>
    <rPh sb="3" eb="5">
      <t>コウジ</t>
    </rPh>
    <phoneticPr fontId="4"/>
  </si>
  <si>
    <t>その他経費･申請料</t>
    <rPh sb="2" eb="3">
      <t>タ</t>
    </rPh>
    <rPh sb="3" eb="5">
      <t>ケイヒ</t>
    </rPh>
    <rPh sb="6" eb="8">
      <t>シンセイ</t>
    </rPh>
    <rPh sb="8" eb="9">
      <t>リョウ</t>
    </rPh>
    <phoneticPr fontId="4"/>
  </si>
  <si>
    <t>特別値引き</t>
    <rPh sb="0" eb="2">
      <t>トクベツ</t>
    </rPh>
    <rPh sb="2" eb="4">
      <t>ネビ</t>
    </rPh>
    <phoneticPr fontId="4"/>
  </si>
  <si>
    <t>解体工事</t>
    <rPh sb="0" eb="2">
      <t>カイタイ</t>
    </rPh>
    <rPh sb="2" eb="4">
      <t>コウジ</t>
    </rPh>
    <phoneticPr fontId="2"/>
  </si>
  <si>
    <t>仮住い作り込み費用</t>
    <rPh sb="0" eb="1">
      <t>カリ</t>
    </rPh>
    <rPh sb="1" eb="2">
      <t>スマ</t>
    </rPh>
    <rPh sb="3" eb="4">
      <t>ツク</t>
    </rPh>
    <rPh sb="5" eb="6">
      <t>コ</t>
    </rPh>
    <rPh sb="7" eb="9">
      <t>ヒヨウ</t>
    </rPh>
    <phoneticPr fontId="2"/>
  </si>
  <si>
    <t>地盤改良</t>
    <rPh sb="0" eb="2">
      <t>ジバン</t>
    </rPh>
    <rPh sb="2" eb="4">
      <t>カイリョウ</t>
    </rPh>
    <phoneticPr fontId="2"/>
  </si>
  <si>
    <t>特殊基礎工事(嵩下げ等)</t>
    <rPh sb="0" eb="2">
      <t>トクシュ</t>
    </rPh>
    <rPh sb="2" eb="4">
      <t>キソ</t>
    </rPh>
    <rPh sb="4" eb="6">
      <t>コウジ</t>
    </rPh>
    <rPh sb="7" eb="8">
      <t>カサ</t>
    </rPh>
    <rPh sb="8" eb="9">
      <t>サ</t>
    </rPh>
    <rPh sb="10" eb="11">
      <t>トウ</t>
    </rPh>
    <phoneticPr fontId="2"/>
  </si>
  <si>
    <t>特殊据付工事</t>
    <rPh sb="0" eb="2">
      <t>トクシュ</t>
    </rPh>
    <rPh sb="2" eb="4">
      <t>スエツケ</t>
    </rPh>
    <rPh sb="4" eb="6">
      <t>コウジ</t>
    </rPh>
    <phoneticPr fontId="2"/>
  </si>
  <si>
    <t>鉄板養生費</t>
    <rPh sb="0" eb="2">
      <t>テッパン</t>
    </rPh>
    <rPh sb="2" eb="4">
      <t>ヨウジョウ</t>
    </rPh>
    <rPh sb="4" eb="5">
      <t>ヒ</t>
    </rPh>
    <phoneticPr fontId="2"/>
  </si>
  <si>
    <t>特装車</t>
    <rPh sb="0" eb="1">
      <t>トク</t>
    </rPh>
    <rPh sb="1" eb="2">
      <t>ソウ</t>
    </rPh>
    <rPh sb="2" eb="3">
      <t>シャ</t>
    </rPh>
    <phoneticPr fontId="4"/>
  </si>
  <si>
    <t>現地キッチン・浴室</t>
    <rPh sb="0" eb="2">
      <t>ゲンチ</t>
    </rPh>
    <rPh sb="7" eb="9">
      <t>ヨクシツ</t>
    </rPh>
    <phoneticPr fontId="2"/>
  </si>
  <si>
    <t>屋外給排水工事</t>
    <rPh sb="0" eb="2">
      <t>オクガイ</t>
    </rPh>
    <rPh sb="2" eb="5">
      <t>キュウハイスイ</t>
    </rPh>
    <rPh sb="5" eb="7">
      <t>コウジ</t>
    </rPh>
    <phoneticPr fontId="2"/>
  </si>
  <si>
    <t>屋外電気工事</t>
    <rPh sb="0" eb="2">
      <t>オクガイ</t>
    </rPh>
    <rPh sb="2" eb="4">
      <t>デンキ</t>
    </rPh>
    <rPh sb="4" eb="6">
      <t>コウジ</t>
    </rPh>
    <phoneticPr fontId="2"/>
  </si>
  <si>
    <t>浄化槽工事</t>
    <rPh sb="0" eb="3">
      <t>ジョウカソウ</t>
    </rPh>
    <rPh sb="3" eb="5">
      <t>コウジ</t>
    </rPh>
    <phoneticPr fontId="2"/>
  </si>
  <si>
    <t>水道本管取り出し工事</t>
    <rPh sb="0" eb="2">
      <t>スイドウ</t>
    </rPh>
    <rPh sb="2" eb="4">
      <t>ホンカン</t>
    </rPh>
    <rPh sb="4" eb="5">
      <t>ト</t>
    </rPh>
    <rPh sb="6" eb="7">
      <t>ダ</t>
    </rPh>
    <rPh sb="8" eb="10">
      <t>コウジ</t>
    </rPh>
    <phoneticPr fontId="2"/>
  </si>
  <si>
    <t>用地整備工事</t>
    <rPh sb="0" eb="2">
      <t>ヨウチ</t>
    </rPh>
    <rPh sb="2" eb="4">
      <t>セイビ</t>
    </rPh>
    <rPh sb="4" eb="6">
      <t>コウジ</t>
    </rPh>
    <phoneticPr fontId="2"/>
  </si>
  <si>
    <t>外部特殊工事</t>
    <rPh sb="0" eb="2">
      <t>ガイブ</t>
    </rPh>
    <rPh sb="2" eb="4">
      <t>トクシュ</t>
    </rPh>
    <rPh sb="4" eb="6">
      <t>コウジ</t>
    </rPh>
    <phoneticPr fontId="2"/>
  </si>
  <si>
    <t>設計見積①</t>
    <rPh sb="0" eb="2">
      <t>セッケイ</t>
    </rPh>
    <rPh sb="2" eb="4">
      <t>ミツ</t>
    </rPh>
    <phoneticPr fontId="2"/>
  </si>
  <si>
    <t>設計見積②</t>
    <rPh sb="0" eb="2">
      <t>セッケイ</t>
    </rPh>
    <rPh sb="2" eb="4">
      <t>ミツ</t>
    </rPh>
    <phoneticPr fontId="2"/>
  </si>
  <si>
    <t>設計見積③</t>
    <rPh sb="0" eb="2">
      <t>セッケイ</t>
    </rPh>
    <rPh sb="2" eb="4">
      <t>ミツモリ</t>
    </rPh>
    <phoneticPr fontId="2"/>
  </si>
  <si>
    <t>企業協力業者紹介料</t>
    <rPh sb="0" eb="2">
      <t>キギョウ</t>
    </rPh>
    <rPh sb="2" eb="6">
      <t>キョウリョクギョウシャ</t>
    </rPh>
    <rPh sb="6" eb="9">
      <t>ショウカイリョウ</t>
    </rPh>
    <phoneticPr fontId="4"/>
  </si>
  <si>
    <t>照明</t>
    <rPh sb="0" eb="2">
      <t>ショウメイ</t>
    </rPh>
    <phoneticPr fontId="4"/>
  </si>
  <si>
    <t>カーテン</t>
    <phoneticPr fontId="1"/>
  </si>
  <si>
    <t>空調</t>
    <rPh sb="0" eb="2">
      <t>クウチョウ</t>
    </rPh>
    <phoneticPr fontId="4"/>
  </si>
  <si>
    <t>家具・家電</t>
    <rPh sb="0" eb="2">
      <t>カグ</t>
    </rPh>
    <rPh sb="3" eb="5">
      <t>カデン</t>
    </rPh>
    <phoneticPr fontId="4"/>
  </si>
  <si>
    <t>インテリア・その他</t>
    <rPh sb="8" eb="9">
      <t>タ</t>
    </rPh>
    <phoneticPr fontId="4"/>
  </si>
  <si>
    <t>外構</t>
    <rPh sb="0" eb="2">
      <t>ガイコウ</t>
    </rPh>
    <phoneticPr fontId="4"/>
  </si>
  <si>
    <t>H63</t>
    <phoneticPr fontId="1"/>
  </si>
  <si>
    <t>A1</t>
    <phoneticPr fontId="1"/>
  </si>
  <si>
    <t>行数</t>
    <rPh sb="0" eb="2">
      <t>ギョウスウ</t>
    </rPh>
    <phoneticPr fontId="1"/>
  </si>
  <si>
    <t>列数</t>
    <rPh sb="0" eb="2">
      <t>レツスウ</t>
    </rPh>
    <phoneticPr fontId="1"/>
  </si>
  <si>
    <t>編集するシート名</t>
    <rPh sb="0" eb="2">
      <t>ヘンシュウ</t>
    </rPh>
    <rPh sb="7" eb="8">
      <t>メイ</t>
    </rPh>
    <phoneticPr fontId="1"/>
  </si>
  <si>
    <t>営業邸損</t>
    <phoneticPr fontId="1"/>
  </si>
  <si>
    <t>施主氏名</t>
  </si>
  <si>
    <t>建設予定地</t>
  </si>
  <si>
    <t>建設予定日</t>
  </si>
  <si>
    <t>構造体･屋根･庇</t>
  </si>
  <si>
    <t>外壁･開口･外構</t>
  </si>
  <si>
    <t>基礎</t>
  </si>
  <si>
    <t>その他工事</t>
  </si>
  <si>
    <t>その他経費･申請料</t>
  </si>
  <si>
    <t>外壁</t>
  </si>
  <si>
    <t>天井高</t>
  </si>
  <si>
    <t>一階床面積</t>
  </si>
  <si>
    <t>二階床面積</t>
  </si>
  <si>
    <t>延床面積</t>
  </si>
  <si>
    <t>建築面積</t>
  </si>
  <si>
    <t>太陽光W数</t>
  </si>
  <si>
    <t>本体価格</t>
  </si>
  <si>
    <t>坪単価</t>
  </si>
  <si>
    <t>快適設備価格</t>
  </si>
  <si>
    <t>ｽﾏｰﾄ設備価格</t>
  </si>
  <si>
    <t>ｵﾌﾟｼｮﾝ無価格</t>
  </si>
  <si>
    <t>ｵﾌﾟｼｮﾝ無単価</t>
  </si>
  <si>
    <t>*36u×1/4*</t>
  </si>
  <si>
    <t>*外壁*900*</t>
  </si>
  <si>
    <t>*外壁*450*</t>
  </si>
  <si>
    <t>*外壁*出隅*</t>
  </si>
  <si>
    <t>*ﾊﾞﾙｺﾆｰ手摺*900*</t>
  </si>
  <si>
    <t>*ﾊﾞﾙｺﾆｰ手摺*450*</t>
  </si>
  <si>
    <t>*ﾊﾞﾙｺﾆｰ手摺*出隅*</t>
  </si>
  <si>
    <t>*蓄電池*</t>
  </si>
  <si>
    <t>*ｽﾏｰﾄﾊｲﾑﾅﾋﾞ*</t>
  </si>
  <si>
    <t>*快適ｴｱﾘｰ*</t>
  </si>
  <si>
    <t>*ｳｫｰﾑﾌｧｸﾄﾘｰ*</t>
  </si>
  <si>
    <t>クリア</t>
  </si>
  <si>
    <t>差額</t>
    <rPh sb="0" eb="2">
      <t>サガク</t>
    </rPh>
    <phoneticPr fontId="1"/>
  </si>
  <si>
    <t>ﾊﾞﾙ材料費</t>
    <rPh sb="3" eb="6">
      <t>ザイリョウヒ</t>
    </rPh>
    <phoneticPr fontId="4"/>
  </si>
  <si>
    <t>ﾊﾞﾙ工事費</t>
    <rPh sb="3" eb="6">
      <t>コウジヒ</t>
    </rPh>
    <phoneticPr fontId="4"/>
  </si>
  <si>
    <t>構造体調整/材料費</t>
    <phoneticPr fontId="4"/>
  </si>
  <si>
    <t>価格</t>
    <rPh sb="0" eb="2">
      <t>カカク</t>
    </rPh>
    <phoneticPr fontId="4"/>
  </si>
  <si>
    <t>材料単価</t>
    <rPh sb="0" eb="4">
      <t>ザイリョウタンカ</t>
    </rPh>
    <phoneticPr fontId="4"/>
  </si>
  <si>
    <t>工事単価</t>
    <rPh sb="0" eb="2">
      <t>コウジ</t>
    </rPh>
    <rPh sb="2" eb="4">
      <t>タンカ</t>
    </rPh>
    <phoneticPr fontId="4"/>
  </si>
  <si>
    <t>900単位</t>
  </si>
  <si>
    <t>ﾀｲﾙ外壁</t>
  </si>
  <si>
    <t>450単位</t>
  </si>
  <si>
    <t>出隅UP分</t>
  </si>
  <si>
    <t>(BB･PW･PR)UP分450単位</t>
  </si>
  <si>
    <t>ｼﾝｾ厚ﾀｲﾙ外壁ﾚｼﾞﾃﾞﾝｽN-S</t>
  </si>
  <si>
    <t>ｼﾝｾ厚ﾀｲﾙ外壁ﾚｼﾞﾃﾞﾝｽG-S</t>
  </si>
  <si>
    <t>(TW･VB･MB)UP分450単位</t>
  </si>
  <si>
    <t>ｼﾝｾ厚ﾀｲﾙ外壁ﾚｼﾞﾃﾞﾝｽG/N-S</t>
  </si>
  <si>
    <t>ﾀｲﾙ外壁特別減額900単位</t>
  </si>
  <si>
    <t>ﾀｲﾙ外壁特別減額450単位</t>
  </si>
  <si>
    <t>ｼﾝｾﾗｲﾄt20外壁(ｼｪﾙｸﾘｱ以外)</t>
  </si>
  <si>
    <t>ｼﾝｾﾗｲﾄt20外壁(ｼｪﾙｸﾘｱ)</t>
    <phoneticPr fontId="4"/>
  </si>
  <si>
    <t>ｼﾝｾﾗｲﾄt20外壁(ｼｪﾙｸﾘｱ)</t>
  </si>
  <si>
    <t>ｼﾝｾﾗｲﾄt20外壁ﾏｲｶ色UP分</t>
  </si>
  <si>
    <t>ｼﾝｾﾗｲﾄ外壁(ｼｪﾙｸﾘｱ以外)</t>
  </si>
  <si>
    <t>ｼﾝｾﾗｲﾄ外壁(ｼｪﾙｸﾘｱ)</t>
  </si>
  <si>
    <t>ｼﾝｾﾗｲﾄ外壁Gﾀｲﾌﾟ(ｼｪﾙｸﾘｱ以外)</t>
  </si>
  <si>
    <t>ｼﾝｾﾗｲﾄ外壁Gﾀｲﾌﾟ(ｼｪﾙｸﾘｱ)</t>
    <phoneticPr fontId="4"/>
  </si>
  <si>
    <t>ｼﾝｾﾗｲﾄ外壁Gﾀｲﾌﾟ(ｼｪﾙｸﾘｱ)</t>
  </si>
  <si>
    <t>ﾊｲﾑﾀｲﾙ外壁穴開け補修費(～3ヶ所)式</t>
  </si>
  <si>
    <t>ﾊｲﾑﾀｲﾙ外壁穴開け補修費(4～5ヶ所)式</t>
  </si>
  <si>
    <t>ﾊﾞﾙｺﾆｰ部分外壁</t>
    <rPh sb="6" eb="8">
      <t>ブブン</t>
    </rPh>
    <rPh sb="8" eb="10">
      <t>ガイヘキ</t>
    </rPh>
    <phoneticPr fontId="4"/>
  </si>
  <si>
    <t xml:space="preserve">屋上ﾊﾞﾙｺﾆｰ手摺 全壁(ﾀｲﾙ) </t>
  </si>
  <si>
    <t xml:space="preserve">900単位 </t>
  </si>
  <si>
    <t xml:space="preserve">450単位 </t>
  </si>
  <si>
    <t xml:space="preserve">出隅減額 </t>
  </si>
  <si>
    <t xml:space="preserve">屋上ﾊﾞﾙｺﾆｰ手摺 全壁[ｼﾝｾ(G含)] </t>
  </si>
  <si>
    <t xml:space="preserve">ﾃﾗｽﾊﾞﾙｺﾆｰ手摺 全壁(ﾀｲﾙ) </t>
  </si>
  <si>
    <t xml:space="preserve">出隅UP分 </t>
  </si>
  <si>
    <t xml:space="preserve">ﾃﾗｽﾊﾞﾙｺﾆｰ手摺 全壁(厚ﾀｲﾙ･ｼﾝｾ厚ﾀｲﾙ･ﾋﾞｵﾚｼﾞｽﾄｰﾝ) </t>
  </si>
  <si>
    <t xml:space="preserve">ﾃﾗｽﾊﾞﾙｺﾆｰ手摺 全壁[ｼﾝｾ(G含)] </t>
  </si>
  <si>
    <t xml:space="preserve">ﾃﾗｽﾊﾞﾙｺﾆｰ手摺 全壁[ｼﾝｾﾗｲﾄt20] </t>
  </si>
  <si>
    <t xml:space="preserve">ﾃﾗｽﾊﾞﾙｺﾆｰ手摺 ﾏｲｶ色UP分 </t>
    <rPh sb="15" eb="16">
      <t>ショク</t>
    </rPh>
    <phoneticPr fontId="4"/>
  </si>
  <si>
    <t>構造体調整(積雪地)【1810以降】 36u×1/4</t>
    <phoneticPr fontId="1"/>
  </si>
  <si>
    <t>ﾀｲﾙ</t>
    <phoneticPr fontId="4"/>
  </si>
  <si>
    <t>SFC・ｼﾞｵﾏｲﾄ</t>
    <phoneticPr fontId="4"/>
  </si>
  <si>
    <t>太陽光_有無</t>
  </si>
  <si>
    <t>無</t>
  </si>
  <si>
    <t>蓄電池_有無</t>
  </si>
  <si>
    <t>HEMS_有無</t>
  </si>
  <si>
    <t>快適_有無</t>
  </si>
  <si>
    <t>WF_有無</t>
  </si>
  <si>
    <t>鉄板養生費</t>
  </si>
  <si>
    <t>差額合計</t>
    <rPh sb="0" eb="2">
      <t>サガク</t>
    </rPh>
    <rPh sb="2" eb="4">
      <t>ゴウケイ</t>
    </rPh>
    <phoneticPr fontId="1"/>
  </si>
  <si>
    <t>メニュー</t>
  </si>
  <si>
    <t>差額を計算するシートへのジャンプ。</t>
    <rPh sb="0" eb="2">
      <t>サガク</t>
    </rPh>
    <rPh sb="3" eb="5">
      <t>ケイサン</t>
    </rPh>
    <phoneticPr fontId="1"/>
  </si>
  <si>
    <t>外壁差額は、C1を「クリア」に合わせる</t>
    <rPh sb="0" eb="2">
      <t>ガイヘキ</t>
    </rPh>
    <rPh sb="2" eb="4">
      <t>サガク</t>
    </rPh>
    <rPh sb="15" eb="16">
      <t>ア</t>
    </rPh>
    <phoneticPr fontId="1"/>
  </si>
  <si>
    <t>B1の積算シートの外壁数を拾っています。</t>
    <rPh sb="3" eb="5">
      <t>セキサン</t>
    </rPh>
    <rPh sb="9" eb="11">
      <t>ガイヘキ</t>
    </rPh>
    <rPh sb="11" eb="12">
      <t>スウ</t>
    </rPh>
    <rPh sb="13" eb="14">
      <t>ヒロ</t>
    </rPh>
    <phoneticPr fontId="1"/>
  </si>
  <si>
    <t>商品名</t>
  </si>
  <si>
    <t>積雪タイプ</t>
  </si>
  <si>
    <t>マルチセレクト</t>
  </si>
  <si>
    <t>作成日</t>
  </si>
  <si>
    <t>積算Ver</t>
  </si>
  <si>
    <t>*基準*ﾕﾆｯﾄ*数*</t>
  </si>
  <si>
    <t>*1階*ﾕﾆｯﾄ*数*</t>
  </si>
  <si>
    <t>図面番号</t>
  </si>
  <si>
    <t>三階床面積</t>
  </si>
  <si>
    <t>数字が正確に読み込めた場合ステータスバー（ウィンドウ左下）にメッセージを表示します。</t>
    <rPh sb="0" eb="2">
      <t>スウジ</t>
    </rPh>
    <rPh sb="3" eb="5">
      <t>セイカク</t>
    </rPh>
    <rPh sb="6" eb="7">
      <t>ヨ</t>
    </rPh>
    <rPh sb="8" eb="9">
      <t>コ</t>
    </rPh>
    <rPh sb="11" eb="13">
      <t>バアイ</t>
    </rPh>
    <rPh sb="26" eb="28">
      <t>ヒダリシタ</t>
    </rPh>
    <rPh sb="36" eb="38">
      <t>ヒョウジ</t>
    </rPh>
    <phoneticPr fontId="1"/>
  </si>
  <si>
    <t>【営業邸損】本社版(ver*.**).xlsm　のエクセルファイルを指定してください。</t>
    <phoneticPr fontId="1"/>
  </si>
  <si>
    <t>PDFから直接データ取得しています。Excel365、Excel2021以降が必要です。</t>
    <rPh sb="5" eb="7">
      <t>チョクセツ</t>
    </rPh>
    <rPh sb="10" eb="12">
      <t>シュトク</t>
    </rPh>
    <rPh sb="36" eb="38">
      <t>イコウ</t>
    </rPh>
    <rPh sb="39" eb="41">
      <t>ヒツヨウ</t>
    </rPh>
    <phoneticPr fontId="1"/>
  </si>
  <si>
    <t>I7</t>
    <phoneticPr fontId="1"/>
  </si>
  <si>
    <t>I9</t>
    <phoneticPr fontId="1"/>
  </si>
  <si>
    <t>I10</t>
    <phoneticPr fontId="1"/>
  </si>
  <si>
    <t>I12</t>
    <phoneticPr fontId="1"/>
  </si>
  <si>
    <t>I11</t>
    <phoneticPr fontId="1"/>
  </si>
  <si>
    <t>I13</t>
    <phoneticPr fontId="1"/>
  </si>
  <si>
    <t>I14</t>
    <phoneticPr fontId="1"/>
  </si>
  <si>
    <t>I15</t>
    <phoneticPr fontId="1"/>
  </si>
  <si>
    <t>I16</t>
    <phoneticPr fontId="1"/>
  </si>
  <si>
    <t>I20</t>
    <phoneticPr fontId="1"/>
  </si>
  <si>
    <t>I21</t>
    <phoneticPr fontId="1"/>
  </si>
  <si>
    <t>I23</t>
    <phoneticPr fontId="1"/>
  </si>
  <si>
    <t>I24</t>
    <phoneticPr fontId="1"/>
  </si>
  <si>
    <t>I25</t>
    <phoneticPr fontId="1"/>
  </si>
  <si>
    <t>I26</t>
    <phoneticPr fontId="1"/>
  </si>
  <si>
    <t>I27</t>
    <phoneticPr fontId="1"/>
  </si>
  <si>
    <t>I28</t>
    <phoneticPr fontId="1"/>
  </si>
  <si>
    <t>I29</t>
    <phoneticPr fontId="1"/>
  </si>
  <si>
    <t>I30</t>
    <phoneticPr fontId="1"/>
  </si>
  <si>
    <t>I31</t>
    <phoneticPr fontId="1"/>
  </si>
  <si>
    <t>I32</t>
    <phoneticPr fontId="1"/>
  </si>
  <si>
    <t>I33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</si>
  <si>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</si>
  <si>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</si>
  <si>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</si>
  <si>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</si>
  <si>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</si>
  <si>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I40</t>
    <phoneticPr fontId="1"/>
  </si>
  <si>
    <t>I41</t>
    <phoneticPr fontId="1"/>
  </si>
  <si>
    <t>I42</t>
    <phoneticPr fontId="1"/>
  </si>
  <si>
    <t>I43</t>
    <phoneticPr fontId="1"/>
  </si>
  <si>
    <t>I44</t>
    <phoneticPr fontId="1"/>
  </si>
  <si>
    <t>I45</t>
    <phoneticPr fontId="1"/>
  </si>
  <si>
    <t>I46</t>
    <phoneticPr fontId="1"/>
  </si>
  <si>
    <t>I47</t>
    <phoneticPr fontId="1"/>
  </si>
  <si>
    <t>I48</t>
    <phoneticPr fontId="1"/>
  </si>
  <si>
    <t>I49</t>
    <phoneticPr fontId="1"/>
  </si>
  <si>
    <t>I50</t>
    <phoneticPr fontId="1"/>
  </si>
  <si>
    <t>I51</t>
    <phoneticPr fontId="1"/>
  </si>
  <si>
    <t>I52</t>
    <phoneticPr fontId="1"/>
  </si>
  <si>
    <t>I53</t>
    <phoneticPr fontId="1"/>
  </si>
  <si>
    <t>I54</t>
    <phoneticPr fontId="1"/>
  </si>
  <si>
    <t>I56</t>
    <phoneticPr fontId="1"/>
  </si>
  <si>
    <t>I57</t>
    <phoneticPr fontId="1"/>
  </si>
  <si>
    <t>I58</t>
    <phoneticPr fontId="1"/>
  </si>
  <si>
    <t>I59</t>
    <phoneticPr fontId="1"/>
  </si>
  <si>
    <t>I60</t>
    <phoneticPr fontId="1"/>
  </si>
  <si>
    <t>I62</t>
    <phoneticPr fontId="1"/>
  </si>
  <si>
    <t>比較・外壁差額</t>
  </si>
  <si>
    <t>積算toExcel</t>
    <rPh sb="0" eb="2">
      <t>セキサン</t>
    </rPh>
    <phoneticPr fontId="1"/>
  </si>
  <si>
    <t>Ver1.00</t>
    <phoneticPr fontId="1"/>
  </si>
  <si>
    <t>PDFからのデータ取得機能利用（Excel365、Excel2021以降必要）</t>
    <rPh sb="9" eb="11">
      <t>シュトク</t>
    </rPh>
    <rPh sb="11" eb="13">
      <t>キノウ</t>
    </rPh>
    <rPh sb="13" eb="15">
      <t>リヨウ</t>
    </rPh>
    <rPh sb="34" eb="36">
      <t>イコウ</t>
    </rPh>
    <rPh sb="36" eb="38">
      <t>ヒツヨウ</t>
    </rPh>
    <phoneticPr fontId="1"/>
  </si>
  <si>
    <t>ユーザーフォームでメニュー常時表示、表示位置記憶</t>
    <rPh sb="13" eb="15">
      <t>ジョウジ</t>
    </rPh>
    <rPh sb="15" eb="17">
      <t>ヒョウジ</t>
    </rPh>
    <rPh sb="18" eb="22">
      <t>ヒョウジイチ</t>
    </rPh>
    <rPh sb="22" eb="24">
      <t>キオク</t>
    </rPh>
    <phoneticPr fontId="1"/>
  </si>
  <si>
    <t>転記したい積算のシートを左から3番目のシート位置に移動してください。通常はそのまま。</t>
    <rPh sb="0" eb="2">
      <t>テンキ</t>
    </rPh>
    <rPh sb="5" eb="7">
      <t>セキサン</t>
    </rPh>
    <rPh sb="12" eb="13">
      <t>ヒダリ</t>
    </rPh>
    <rPh sb="16" eb="18">
      <t>バンメ</t>
    </rPh>
    <rPh sb="22" eb="24">
      <t>イチ</t>
    </rPh>
    <rPh sb="25" eb="27">
      <t>イドウ</t>
    </rPh>
    <rPh sb="34" eb="36">
      <t>ツウジョウ</t>
    </rPh>
    <phoneticPr fontId="1"/>
  </si>
  <si>
    <t>メニュー表示は「Ctrl + Shift + J」</t>
    <rPh sb="4" eb="6">
      <t>ヒョウジ</t>
    </rPh>
    <phoneticPr fontId="1"/>
  </si>
  <si>
    <t>シート名自動取得</t>
    <rPh sb="3" eb="4">
      <t>メイ</t>
    </rPh>
    <rPh sb="4" eb="6">
      <t>ジドウ</t>
    </rPh>
    <rPh sb="6" eb="8">
      <t>シュトク</t>
    </rPh>
    <phoneticPr fontId="1"/>
  </si>
  <si>
    <t>邸損の転記するセル番地の管理をこのシートのB99番地以降に移動</t>
    <rPh sb="0" eb="1">
      <t>テイ</t>
    </rPh>
    <rPh sb="1" eb="2">
      <t>ソン</t>
    </rPh>
    <rPh sb="3" eb="5">
      <t>テンキ</t>
    </rPh>
    <rPh sb="9" eb="11">
      <t>バンチ</t>
    </rPh>
    <rPh sb="12" eb="14">
      <t>カンリ</t>
    </rPh>
    <rPh sb="24" eb="26">
      <t>バンチ</t>
    </rPh>
    <rPh sb="26" eb="28">
      <t>イコウ</t>
    </rPh>
    <rPh sb="29" eb="31">
      <t>イドウ</t>
    </rPh>
    <phoneticPr fontId="1"/>
  </si>
  <si>
    <t>隠しシート（クリア）のC列103行以下が邸損ファイルの記載するセル番地です。</t>
    <rPh sb="0" eb="1">
      <t>カク</t>
    </rPh>
    <rPh sb="12" eb="13">
      <t>レツ</t>
    </rPh>
    <rPh sb="16" eb="17">
      <t>ギョウ</t>
    </rPh>
    <rPh sb="17" eb="19">
      <t>イカ</t>
    </rPh>
    <rPh sb="20" eb="21">
      <t>テイ</t>
    </rPh>
    <rPh sb="21" eb="22">
      <t>ソン</t>
    </rPh>
    <rPh sb="27" eb="29">
      <t>キサイ</t>
    </rPh>
    <rPh sb="33" eb="35">
      <t>バンチ</t>
    </rPh>
    <phoneticPr fontId="1"/>
  </si>
  <si>
    <t>営業邸損のVerUpなどで転記位置がズレた場合は編集してください。</t>
    <rPh sb="24" eb="26">
      <t>ヘンシュウ</t>
    </rPh>
    <phoneticPr fontId="1"/>
  </si>
  <si>
    <t>内装･階段</t>
  </si>
  <si>
    <t>設備</t>
  </si>
  <si>
    <t>据付大工工事費その他</t>
  </si>
  <si>
    <t>特別値引き</t>
  </si>
  <si>
    <t>構造体 小計</t>
  </si>
  <si>
    <t>屋根/庇 小計</t>
  </si>
  <si>
    <t>外壁 小計</t>
  </si>
  <si>
    <t>引き違い窓･小窓･特殊窓･PS外窓 小計</t>
  </si>
  <si>
    <t>出窓･天窓 小計</t>
  </si>
  <si>
    <t>防災仕様UP分 小計</t>
  </si>
  <si>
    <t>防犯仕様UP分 小計</t>
  </si>
  <si>
    <t>新防火ｻｯｼ 小計</t>
  </si>
  <si>
    <t>開口付帯 小計</t>
  </si>
  <si>
    <t>*</t>
  </si>
  <si>
    <t>洋室 他 小計</t>
  </si>
  <si>
    <t>和室 小計</t>
  </si>
  <si>
    <t>階段･吹抜 小計</t>
  </si>
  <si>
    <t>U型ｵｰﾌﾟﾝ18(20)階段･ｵｰﾌﾟﾝ踊り場 小計</t>
  </si>
  <si>
    <t>ｽｷｯﾌﾟｱｯﾌﾟﾋﾟｯﾄ 小計</t>
  </si>
  <si>
    <t>ｾｷｽｲｲﾝﾃﾘｱ手配ﾒﾆｭｰ 小計</t>
  </si>
  <si>
    <t>ｷｯﾁﾝ 小計</t>
  </si>
  <si>
    <t>ｻﾆﾀﾘｰ 小計</t>
  </si>
  <si>
    <t>蓄電池 小計</t>
  </si>
  <si>
    <t>ｽﾏｰﾄﾊｲﾑ特別減額 小計</t>
  </si>
  <si>
    <t>(廃)ｽﾏｰﾄﾊｲﾑﾓﾆﾀｰ 小計</t>
  </si>
  <si>
    <t>基礎工事費 小計</t>
  </si>
  <si>
    <t>(削)基礎工事費(旧仕様) 小計</t>
  </si>
  <si>
    <t>据付大工工事費その他 小計</t>
  </si>
  <si>
    <t>共通本体工事 小計</t>
  </si>
  <si>
    <t>共通基礎工事 小計</t>
  </si>
  <si>
    <t>共通据付工事 小計</t>
  </si>
  <si>
    <t>仮設工事 小計</t>
  </si>
  <si>
    <t>用地整備 小計</t>
  </si>
  <si>
    <t>その他経費 小計</t>
  </si>
  <si>
    <t>申請料 棟 小計</t>
  </si>
  <si>
    <t>申請手数料 小計</t>
  </si>
  <si>
    <t>附帯工事 小計</t>
  </si>
  <si>
    <t>別途工事 小計</t>
  </si>
  <si>
    <t>平屋ｼﾘｰｽﾞ減額 小計</t>
  </si>
  <si>
    <t>特別値引き 小計</t>
  </si>
  <si>
    <t>作成日</t>
    <phoneticPr fontId="1"/>
  </si>
  <si>
    <t>[2026年2月5日発行版(山形)Ver9740]</t>
    <phoneticPr fontId="1"/>
  </si>
  <si>
    <t>施主氏名</t>
    <phoneticPr fontId="1"/>
  </si>
  <si>
    <t>建設予定地</t>
    <phoneticPr fontId="1"/>
  </si>
  <si>
    <t>建設予定日</t>
    <phoneticPr fontId="1"/>
  </si>
  <si>
    <t>空欄</t>
    <phoneticPr fontId="1"/>
  </si>
  <si>
    <t>２４天井</t>
    <phoneticPr fontId="1"/>
  </si>
  <si>
    <t>項目</t>
    <phoneticPr fontId="1"/>
  </si>
  <si>
    <t>材料費（円）</t>
    <phoneticPr fontId="1"/>
  </si>
  <si>
    <t>工事費（円）</t>
    <phoneticPr fontId="1"/>
  </si>
  <si>
    <t>合計（円）</t>
    <phoneticPr fontId="1"/>
  </si>
  <si>
    <t>構造体･屋根･庇</t>
    <phoneticPr fontId="1"/>
  </si>
  <si>
    <t>外壁･開口･外構</t>
    <phoneticPr fontId="1"/>
  </si>
  <si>
    <t>内装･階段</t>
    <phoneticPr fontId="1"/>
  </si>
  <si>
    <t>設備</t>
    <phoneticPr fontId="1"/>
  </si>
  <si>
    <t>基礎</t>
    <phoneticPr fontId="1"/>
  </si>
  <si>
    <t>据付大工工事費その他</t>
    <phoneticPr fontId="1"/>
  </si>
  <si>
    <t>その他工事</t>
    <phoneticPr fontId="1"/>
  </si>
  <si>
    <t>その他経費･申請料</t>
    <phoneticPr fontId="1"/>
  </si>
  <si>
    <t>特別値引き</t>
    <phoneticPr fontId="1"/>
  </si>
  <si>
    <t>合計</t>
    <phoneticPr fontId="1"/>
  </si>
  <si>
    <t>うち上代</t>
    <phoneticPr fontId="1"/>
  </si>
  <si>
    <t>うち減額</t>
    <phoneticPr fontId="1"/>
  </si>
  <si>
    <t>図面番号</t>
    <phoneticPr fontId="1"/>
  </si>
  <si>
    <t>商品名</t>
    <phoneticPr fontId="1"/>
  </si>
  <si>
    <t>ﾊﾟﾙﾌｪN</t>
    <phoneticPr fontId="1"/>
  </si>
  <si>
    <t>積雪タイプ</t>
    <phoneticPr fontId="1"/>
  </si>
  <si>
    <t>150cm</t>
    <phoneticPr fontId="1"/>
  </si>
  <si>
    <t>マルチセレクト</t>
    <phoneticPr fontId="1"/>
  </si>
  <si>
    <t>ﾏﾙﾁｾﾚｸﾄ2510</t>
    <phoneticPr fontId="1"/>
  </si>
  <si>
    <t>積算Ver</t>
    <phoneticPr fontId="1"/>
  </si>
  <si>
    <t>一階床面積</t>
    <phoneticPr fontId="1"/>
  </si>
  <si>
    <t>二階床面積</t>
    <phoneticPr fontId="1"/>
  </si>
  <si>
    <t>三階床面積</t>
    <phoneticPr fontId="1"/>
  </si>
  <si>
    <t>延床面積</t>
    <phoneticPr fontId="1"/>
  </si>
  <si>
    <t>建築面積</t>
    <phoneticPr fontId="1"/>
  </si>
  <si>
    <t>太陽光W数</t>
    <phoneticPr fontId="1"/>
  </si>
  <si>
    <t>天井高</t>
    <phoneticPr fontId="1"/>
  </si>
  <si>
    <t>外壁</t>
    <phoneticPr fontId="1"/>
  </si>
  <si>
    <t>大項目</t>
  </si>
  <si>
    <t>屋根工事･屋根仕上げ 小計</t>
  </si>
  <si>
    <t>玄関･出入口 小計</t>
  </si>
  <si>
    <t>玄関･出入口(新防火) 小計</t>
  </si>
  <si>
    <t>ﾊﾞﾙｺﾆｰ 小計</t>
  </si>
  <si>
    <t>2階玄関･外階段 小計</t>
  </si>
  <si>
    <t>車庫 小計</t>
  </si>
  <si>
    <t>桁付ﾊﾞﾙｺﾆｰ･2階庇延長 小計</t>
  </si>
  <si>
    <t>天井･壁･床仕上げ 小計</t>
  </si>
  <si>
    <t>間仕切･壁手摺 小計</t>
  </si>
  <si>
    <t>給湯器 小計</t>
  </si>
  <si>
    <t>配管PS 小計</t>
  </si>
  <si>
    <t>飲料水貯留ｼｽﾃﾑ 小計</t>
  </si>
  <si>
    <t>電気 小計</t>
  </si>
  <si>
    <t>TVｳｫｰﾙ 小計</t>
  </si>
  <si>
    <t>(削)ｳｫｰﾑｴｱﾘｰ 小計</t>
  </si>
  <si>
    <t>(廃)ｳｫｰﾑﾌｧｸﾄﾘｰ 小計</t>
  </si>
  <si>
    <t>ｳｫｰﾑﾌｧｸﾄﾘｰ 小計</t>
  </si>
  <si>
    <t>ｴｱｰﾌｧｸﾄﾘｰ 小計</t>
  </si>
  <si>
    <t>快適ｴｱﾘｰ 小計</t>
  </si>
  <si>
    <t>加湿ｼｽﾃﾑ 小計</t>
  </si>
  <si>
    <t>天井埋込空気清浄機 小計</t>
  </si>
  <si>
    <t>太陽光発電 小計</t>
  </si>
  <si>
    <t>太陽光共通 小計</t>
  </si>
  <si>
    <t>ｽﾏｰﾄﾊｲﾑﾅﾋﾞ 小計</t>
  </si>
  <si>
    <t>中項目</t>
    <phoneticPr fontId="1"/>
  </si>
  <si>
    <t>小項目</t>
    <phoneticPr fontId="1"/>
  </si>
  <si>
    <t>合計単価</t>
    <phoneticPr fontId="1"/>
  </si>
  <si>
    <t>数量</t>
    <phoneticPr fontId="1"/>
  </si>
  <si>
    <t>金額（円）</t>
    <phoneticPr fontId="1"/>
  </si>
  <si>
    <t>材料単価</t>
    <phoneticPr fontId="1"/>
  </si>
  <si>
    <t>材料金額</t>
    <phoneticPr fontId="1"/>
  </si>
  <si>
    <t>工事単価</t>
    <phoneticPr fontId="1"/>
  </si>
  <si>
    <t>工事金額</t>
    <phoneticPr fontId="1"/>
  </si>
  <si>
    <t>うち上代材料単価</t>
    <phoneticPr fontId="1"/>
  </si>
  <si>
    <t>うち上代材料金額</t>
    <phoneticPr fontId="1"/>
  </si>
  <si>
    <t>うち上代工事単価</t>
    <phoneticPr fontId="1"/>
  </si>
  <si>
    <t>うち上代工事金額</t>
    <phoneticPr fontId="1"/>
  </si>
  <si>
    <t>構造体</t>
    <phoneticPr fontId="1"/>
  </si>
  <si>
    <t>&lt;構造体&gt;</t>
    <phoneticPr fontId="1"/>
  </si>
  <si>
    <t>構造体 積雪地 基準 36u×1/4 【2510以降】</t>
    <phoneticPr fontId="1"/>
  </si>
  <si>
    <t>構造体(1810) 積雪地 基準 ﾕﾆｯﾄ数</t>
    <phoneticPr fontId="1"/>
  </si>
  <si>
    <t>構造体 積雪地 基準 棟</t>
    <phoneticPr fontId="1"/>
  </si>
  <si>
    <t>ｿｲﾙｶﾊﾞｰ無し減額(ﾍﾞﾀ基礎) 1階ﾕﾆｯﾄ 36u×1/4</t>
    <phoneticPr fontId="1"/>
  </si>
  <si>
    <t>基礎ｱﾝｶｰ強化仕様UP分 1階ﾕﾆｯﾄ数</t>
    <phoneticPr fontId="1"/>
  </si>
  <si>
    <t>構造体調整 延べ床面積 ㎡(SKK2402) 【2510以降】</t>
    <phoneticPr fontId="1"/>
  </si>
  <si>
    <t>&lt;省ｴﾈ仕様構造体&gt;</t>
    <phoneticPr fontId="1"/>
  </si>
  <si>
    <t>躯体断熱HG5a･5b･5c仕様 外壁断熱UP分 900単位</t>
    <phoneticPr fontId="1"/>
  </si>
  <si>
    <t>躯体断熱HG5a･5b･5c仕様 外壁断熱UP分 450単位</t>
    <phoneticPr fontId="1"/>
  </si>
  <si>
    <t>&lt;省ｴﾈ基礎断熱仕様&gt;</t>
    <phoneticPr fontId="1"/>
  </si>
  <si>
    <t>躯体断熱3a強化･HG5a･5b･5c仕様 1階ﾕﾆｯﾄ 36u×1/4【2210以降】</t>
    <phoneticPr fontId="1"/>
  </si>
  <si>
    <t>(廃)&lt;次世代省ｴﾈ基礎断熱仕様&gt;</t>
    <phoneticPr fontId="1"/>
  </si>
  <si>
    <t>□積算調整費 ㎡</t>
    <phoneticPr fontId="1"/>
  </si>
  <si>
    <t>&lt;東&gt;構造体調整 延べ床面積 ㎡</t>
    <phoneticPr fontId="1"/>
  </si>
  <si>
    <t>&lt;東&gt;工場輸送対応費 基準 棟</t>
    <phoneticPr fontId="1"/>
  </si>
  <si>
    <t>&lt;東&gt;工場輸送対応費 ﾕﾆｯﾄ数</t>
    <phoneticPr fontId="1"/>
  </si>
  <si>
    <t>構造体 小計</t>
    <phoneticPr fontId="1"/>
  </si>
  <si>
    <t>屋根/庇</t>
    <phoneticPr fontId="1"/>
  </si>
  <si>
    <t>&lt;屋根本体 ｽﾃﾝﾚｽSH鋼板屋根 PaN(SQ2庇用&gt;</t>
    <phoneticPr fontId="1"/>
  </si>
  <si>
    <t>屋根本体 ｽﾃﾝﾚｽSH鋼板屋根 PaN【1910以降】 標準ﾕﾆｯﾄ数</t>
    <phoneticPr fontId="1"/>
  </si>
  <si>
    <t>屋根本体 ｽﾃﾝﾚｽSH鋼板屋根 PaN【1910以降】 標準36U×1/4</t>
    <phoneticPr fontId="1"/>
  </si>
  <si>
    <t>屋根本体 ｽﾃﾝﾚｽSH鋼板屋根 PaN【1910以降】 ｻﾌﾞ ﾕﾆｯﾄ数</t>
    <phoneticPr fontId="1"/>
  </si>
  <si>
    <t>屋根本体 ｽﾃﾝﾚｽSH鋼板屋根 PaN【1910以降】 ｻﾌﾞ36U×1/4</t>
    <phoneticPr fontId="1"/>
  </si>
  <si>
    <t>屋根本体 ｽﾃﾝﾚｽSH鋼板屋根 PaN【1910以降】 両桁流れUP分 桁900単位</t>
    <phoneticPr fontId="1"/>
  </si>
  <si>
    <t>&lt;庇&gt;</t>
    <phoneticPr fontId="1"/>
  </si>
  <si>
    <t>SQ2庇 PaN 900単位</t>
    <phoneticPr fontId="1"/>
  </si>
  <si>
    <t>SQ2庇 PaN 450単位</t>
    <phoneticPr fontId="1"/>
  </si>
  <si>
    <t>屋根/庇 小計</t>
    <phoneticPr fontId="1"/>
  </si>
  <si>
    <t>屋根工事･屋根仕上げ</t>
    <phoneticPr fontId="1"/>
  </si>
  <si>
    <t>屋根工事･屋根仕上げ 小計</t>
    <phoneticPr fontId="1"/>
  </si>
  <si>
    <t>&lt;外壁&gt;</t>
    <phoneticPr fontId="1"/>
  </si>
  <si>
    <t>外壁 小計</t>
    <phoneticPr fontId="1"/>
  </si>
  <si>
    <t>引き違い窓･小窓･特殊窓･PS外窓</t>
    <phoneticPr fontId="1"/>
  </si>
  <si>
    <t>&lt;PS外窓ﾄﾘﾌﾟﾙ&gt;</t>
    <phoneticPr fontId="1"/>
  </si>
  <si>
    <t>PS外窓ﾄﾘﾌﾟﾙ(外開) Yｷｯﾁﾝ 450 【2510以降】</t>
    <phoneticPr fontId="1"/>
  </si>
  <si>
    <t>PS外窓ﾄﾘﾌﾟﾙ(ﾎﾗｲｿﾞﾝｳｨﾝﾄﾞｳ) 1800 【2510以降】</t>
    <phoneticPr fontId="1"/>
  </si>
  <si>
    <t>&lt;PS外窓(ｽﾄｯﾊﾟｰ)&gt;</t>
    <phoneticPr fontId="1"/>
  </si>
  <si>
    <t>PS外窓(外開 ｽﾄｯﾊﾟｰ) 開口幅1800以下 3連窓･18下部FIX除</t>
    <phoneticPr fontId="1"/>
  </si>
  <si>
    <t>(廃)&lt;PS外窓(ﾄﾘﾌﾟﾙｶﾞﾗｽ)UP分&gt;</t>
    <phoneticPr fontId="1"/>
  </si>
  <si>
    <t>□PS外窓 網戸取付 箇所</t>
    <phoneticPr fontId="1"/>
  </si>
  <si>
    <t>引き違い窓･小窓･特殊窓･PS外窓 小計</t>
    <phoneticPr fontId="1"/>
  </si>
  <si>
    <t>出窓･天窓</t>
    <phoneticPr fontId="1"/>
  </si>
  <si>
    <t>出窓･天窓 小計</t>
    <phoneticPr fontId="1"/>
  </si>
  <si>
    <t>防災仕様UP分</t>
    <phoneticPr fontId="1"/>
  </si>
  <si>
    <t>防災仕様UP分 小計</t>
    <phoneticPr fontId="1"/>
  </si>
  <si>
    <t>防犯仕様UP分</t>
    <phoneticPr fontId="1"/>
  </si>
  <si>
    <t>防犯仕様UP分 小計</t>
    <phoneticPr fontId="1"/>
  </si>
  <si>
    <t>新防火ｻｯｼ</t>
    <phoneticPr fontId="1"/>
  </si>
  <si>
    <t>新防火ｻｯｼ 小計</t>
    <phoneticPr fontId="1"/>
  </si>
  <si>
    <t>開口付帯</t>
    <phoneticPr fontId="1"/>
  </si>
  <si>
    <t>開口付帯 小計</t>
    <phoneticPr fontId="1"/>
  </si>
  <si>
    <t>玄関･出入口</t>
    <phoneticPr fontId="1"/>
  </si>
  <si>
    <t>&lt;玄関ﾄﾞｱ&gt;</t>
    <phoneticPr fontId="1"/>
  </si>
  <si>
    <t>鋼製ﾄﾞｱ 玄関戸当り 1F</t>
    <phoneticPr fontId="1"/>
  </si>
  <si>
    <t>&lt;玄関ﾄﾞｱ 電気錠UP分&gt;</t>
    <phoneticPr fontId="1"/>
  </si>
  <si>
    <t>鋼製ﾄﾞｱ 電気錠UP分 ﾘﾓｺﾝｷｰ(YKK)(ｺﾝﾌｫｰﾄ) 標準 ﾘﾓｺﾝ2個+ﾀｸﾞｷｰ3個</t>
    <phoneticPr fontId="1"/>
  </si>
  <si>
    <t>&lt;ﾀﾀｷ部分 共通下地&gt;</t>
    <phoneticPr fontId="1"/>
  </si>
  <si>
    <t>ﾀﾀｷ部分 共通下地 玄関ﾀﾀｷ部 EPS仕様(高断熱仕様)面積㎡</t>
    <phoneticPr fontId="1"/>
  </si>
  <si>
    <t>&lt;玄関ﾀｲﾙ仕上げ 標準1(92角ｸｲｰﾝ:ﾏｯｸｽ)&gt;</t>
    <phoneticPr fontId="1"/>
  </si>
  <si>
    <t>ﾀﾀｷ部分 ﾀｲﾙ仕上げ 標準1 玄関ﾀﾀｷ部 面積㎡</t>
    <phoneticPr fontId="1"/>
  </si>
  <si>
    <t>&lt;ｽﾃｯﾌﾟ3段ﾀｲﾙ仕上げ 標準1&gt;</t>
    <phoneticPr fontId="1"/>
  </si>
  <si>
    <t>&lt;勝手口ｽﾃｯﾌﾟ&gt;</t>
    <phoneticPr fontId="1"/>
  </si>
  <si>
    <t>&lt;東&gt;玄関ﾀｲﾙUP分 棟</t>
    <phoneticPr fontId="1"/>
  </si>
  <si>
    <t>玄関･出入口 小計</t>
    <phoneticPr fontId="1"/>
  </si>
  <si>
    <t>玄関･出入口(新防火)</t>
    <phoneticPr fontId="1"/>
  </si>
  <si>
    <t>玄関･出入口(新防火) 小計</t>
    <phoneticPr fontId="1"/>
  </si>
  <si>
    <t>ﾊﾞﾙｺﾆｰ</t>
    <phoneticPr fontId="1"/>
  </si>
  <si>
    <t>ﾊﾞﾙｺﾆｰ 小計</t>
    <phoneticPr fontId="1"/>
  </si>
  <si>
    <t>2階玄関･外階段</t>
    <phoneticPr fontId="1"/>
  </si>
  <si>
    <t>2階玄関･外階段 小計</t>
    <phoneticPr fontId="1"/>
  </si>
  <si>
    <t>車庫</t>
    <phoneticPr fontId="1"/>
  </si>
  <si>
    <t>車庫 小計</t>
    <phoneticPr fontId="1"/>
  </si>
  <si>
    <t>桁付ﾊﾞﾙｺﾆｰ･2階庇延長</t>
    <phoneticPr fontId="1"/>
  </si>
  <si>
    <t>桁付ﾊﾞﾙｺﾆｰ･2階庇延長 小計</t>
    <phoneticPr fontId="1"/>
  </si>
  <si>
    <t>天井･壁･床仕上げ</t>
    <phoneticPr fontId="1"/>
  </si>
  <si>
    <t>&lt;天井･壁･床仕上げ&gt;</t>
    <phoneticPr fontId="1"/>
  </si>
  <si>
    <t>内装工事 基準 ｢1｣積算 【2510以降】</t>
    <phoneticPr fontId="1"/>
  </si>
  <si>
    <t>内装工事(車庫･店舗除く) 36U×1/4 【2510以降】</t>
    <phoneticPr fontId="1"/>
  </si>
  <si>
    <t>内装工事 天井(1707)1階 収納･洗面･ﾄｲﾚ以外 新36U×1/4</t>
    <phoneticPr fontId="1"/>
  </si>
  <si>
    <t>内装工事 天井(1707)1階 収納･洗面･ﾄｲﾚ 新36U×1/4</t>
    <phoneticPr fontId="1"/>
  </si>
  <si>
    <t>内装工事 壁(廻り縁 無)1階 収納･ﾄｲﾚ以外 900単位</t>
    <phoneticPr fontId="1"/>
  </si>
  <si>
    <t>内装工事 壁(廻り縁 有)1階 収納 900単位</t>
    <phoneticPr fontId="1"/>
  </si>
  <si>
    <t>天井(非塩ﾋﾞｸﾛｽ含) 36U×1/4</t>
    <phoneticPr fontId="1"/>
  </si>
  <si>
    <t>廻り縁工事 1階 収納 現地仕上 900単位</t>
    <phoneticPr fontId="1"/>
  </si>
  <si>
    <t>廻り縁工事 1階 収納 現地仕上 225単位</t>
    <phoneticPr fontId="1"/>
  </si>
  <si>
    <t>&lt;壁補強&gt;</t>
    <phoneticPr fontId="1"/>
  </si>
  <si>
    <t>ｸｰﾗｰﾊﾟﾈﾙ･ｸｰﾗｰﾊﾟﾈﾙIN･ｴｱｺﾝ補強</t>
    <phoneticPr fontId="1"/>
  </si>
  <si>
    <t>&lt;床材 ﾌﾛｰﾘﾝｸﾞ ﾊﾞｰﾁB3P/B2P,ｶｰﾍﾟｯﾄ&gt;</t>
    <phoneticPr fontId="1"/>
  </si>
  <si>
    <t>床材 ﾌﾛｰﾘﾝｸﾞ HDﾌﾛｰﾘﾝｸﾞ 36U×1/4 【2510以降】</t>
    <phoneticPr fontId="1"/>
  </si>
  <si>
    <t>&lt;床材仕上げ&gt;</t>
    <phoneticPr fontId="1"/>
  </si>
  <si>
    <t>ﾌﾛｰﾘﾝｸﾞUP分 銘木調HDﾌﾛｰﾘﾝｸﾞ 36U×1/4 【2210以降】</t>
    <phoneticPr fontId="1"/>
  </si>
  <si>
    <t>ﾌﾛｰﾘﾝｸﾞ貼･ｺﾙｸﾌﾛｱ貼 1階 新36U×1/4</t>
    <phoneticPr fontId="1"/>
  </si>
  <si>
    <t>ｿﾌﾄﾌﾛｱｰ貼 1階 新36U×1/4</t>
    <phoneticPr fontId="1"/>
  </si>
  <si>
    <t>床見切りSL･ST UP分 900単位</t>
    <phoneticPr fontId="1"/>
  </si>
  <si>
    <t>&lt;床下地&gt;</t>
    <phoneticPr fontId="1"/>
  </si>
  <si>
    <t>&lt;巾木&gt;</t>
    <phoneticPr fontId="1"/>
  </si>
  <si>
    <t>巾木工事 1階 収納･ﾄｲﾚ以外 現地取付 900単位</t>
    <phoneticPr fontId="1"/>
  </si>
  <si>
    <t>巾木工事 1階 収納･ﾄｲﾚ 現地取付 900単位</t>
    <phoneticPr fontId="1"/>
  </si>
  <si>
    <t>&lt;畳&gt;</t>
    <phoneticPr fontId="1"/>
  </si>
  <si>
    <t>ﾀﾀﾐIN手配の為減額</t>
    <phoneticPr fontId="1"/>
  </si>
  <si>
    <t>&lt;床 共通&gt;</t>
    <phoneticPr fontId="1"/>
  </si>
  <si>
    <t>床減額 ｿﾌﾄﾌﾛｱ 36U×1/4 【2510以降】</t>
    <phoneticPr fontId="1"/>
  </si>
  <si>
    <t>床仕上無･畳減額 36U×1/4 【2210以降】</t>
    <phoneticPr fontId="1"/>
  </si>
  <si>
    <t>&lt;界床&gt;</t>
    <phoneticPr fontId="1"/>
  </si>
  <si>
    <t>○□内装完了後部材取付 棟</t>
    <phoneticPr fontId="1"/>
  </si>
  <si>
    <t>天井･壁･床仕上げ 小計</t>
    <phoneticPr fontId="1"/>
  </si>
  <si>
    <t>間仕切･壁手摺</t>
    <phoneticPr fontId="1"/>
  </si>
  <si>
    <t>&lt;間仕切&gt;</t>
    <phoneticPr fontId="1"/>
  </si>
  <si>
    <t>間仕切 900単位</t>
    <phoneticPr fontId="1"/>
  </si>
  <si>
    <t>間仕切 450単位</t>
    <phoneticPr fontId="1"/>
  </si>
  <si>
    <t>ﾕﾆｯﾄ間間仕切 900単位</t>
    <phoneticPr fontId="1"/>
  </si>
  <si>
    <t>ﾕﾆｯﾄ間間仕切 450単位</t>
    <phoneticPr fontId="1"/>
  </si>
  <si>
    <t>間仕切 天井補強</t>
    <phoneticPr fontId="1"/>
  </si>
  <si>
    <t>&lt;壁手摺&gt;</t>
    <phoneticPr fontId="1"/>
  </si>
  <si>
    <t>現地ｺﾝﾊﾟﾈ補強8800</t>
    <phoneticPr fontId="1"/>
  </si>
  <si>
    <t>間仕切･壁手摺 小計</t>
    <phoneticPr fontId="1"/>
  </si>
  <si>
    <t>洋室 他</t>
    <phoneticPr fontId="1"/>
  </si>
  <si>
    <t>&lt;洋建具ﾄﾞｱ&gt;</t>
    <phoneticPr fontId="1"/>
  </si>
  <si>
    <t>&lt;洋建具引戸&gt;</t>
    <phoneticPr fontId="1"/>
  </si>
  <si>
    <t>設備上吊片引戸ﾊﾟﾈﾙ(共通) 鍵付 【2510以降】</t>
    <phoneticPr fontId="1"/>
  </si>
  <si>
    <t>&lt;その他建具&gt;</t>
    <phoneticPr fontId="1"/>
  </si>
  <si>
    <t>ﾕﾆｯﾄ渡間仕切･建具 洋建具ﾄﾞｱ除く</t>
    <phoneticPr fontId="1"/>
  </si>
  <si>
    <t>&lt;ｼﾝﾌﾟﾙﾗｯｸｼｽﾃﾑ Kﾀｲﾌﾟ&gt;</t>
    <phoneticPr fontId="1"/>
  </si>
  <si>
    <t>&lt;ｵｰﾌﾟﾝ収納ｼｽﾃﾑ&gt;</t>
    <phoneticPr fontId="1"/>
  </si>
  <si>
    <t>&lt;ｸﾛｾｯﾄﾄﾞｱ&gt;</t>
    <phoneticPr fontId="1"/>
  </si>
  <si>
    <t>&lt;その他収納&gt;</t>
    <phoneticPr fontId="1"/>
  </si>
  <si>
    <t>ﾕﾆｯﾄ渡り収納</t>
    <phoneticPr fontId="1"/>
  </si>
  <si>
    <t>&lt;玄関収納ﾌﾛｰﾄﾀｲﾌﾟ&gt;</t>
    <phoneticPr fontId="1"/>
  </si>
  <si>
    <t>洋室 他 小計</t>
    <phoneticPr fontId="1"/>
  </si>
  <si>
    <t>和室</t>
    <phoneticPr fontId="1"/>
  </si>
  <si>
    <t>和室 小計</t>
    <phoneticPr fontId="1"/>
  </si>
  <si>
    <t>階段･吹抜</t>
    <phoneticPr fontId="1"/>
  </si>
  <si>
    <t>階段･吹抜 小計</t>
    <phoneticPr fontId="1"/>
  </si>
  <si>
    <t>U型ｵｰﾌﾟﾝ18(20)階段･ｵｰﾌﾟﾝ踊り場</t>
    <phoneticPr fontId="1"/>
  </si>
  <si>
    <t>U型ｵｰﾌﾟﾝ18(20)階段･ｵｰﾌﾟﾝ踊り場 小計</t>
    <phoneticPr fontId="1"/>
  </si>
  <si>
    <t>ｽｷｯﾌﾟｱｯﾌﾟﾋﾟｯﾄ</t>
    <phoneticPr fontId="1"/>
  </si>
  <si>
    <t>ｽｷｯﾌﾟｱｯﾌﾟﾋﾟｯﾄ 小計</t>
    <phoneticPr fontId="1"/>
  </si>
  <si>
    <t>ｾｷｽｲｲﾝﾃﾘｱ手配ﾒﾆｭｰ</t>
    <phoneticPr fontId="1"/>
  </si>
  <si>
    <t>ｾｷｽｲｲﾝﾃﾘｱ手配ﾒﾆｭｰ 小計</t>
    <phoneticPr fontId="1"/>
  </si>
  <si>
    <t>ｷｯﾁﾝ</t>
    <phoneticPr fontId="1"/>
  </si>
  <si>
    <t>&lt;ｵ-ﾙｺﾝﾌｫｰﾄACS･ACRｷｯﾁﾝ共通&gt; 【22年8月契約以降】</t>
    <phoneticPr fontId="1"/>
  </si>
  <si>
    <t>&lt;ｵｰﾙｺﾝﾌｫｰﾄｷｯﾁﾝ共通 ｷｯﾁﾝ周辺部材&gt; 【1810以降】</t>
    <phoneticPr fontId="1"/>
  </si>
  <si>
    <t>&lt;ｷｯﾁﾝ 工場ﾌﾟﾚ配管&gt; 【1810以降】</t>
    <phoneticPr fontId="1"/>
  </si>
  <si>
    <t>ｷｯﾁﾝ水道工事(1810) 対話ｷｯﾁﾝUP分 工場ﾌﾟﾚ配管</t>
    <phoneticPr fontId="1"/>
  </si>
  <si>
    <t>ｷｯﾁﾝ水道工事(1810) 食洗機 工場ﾌﾟﾚ配管</t>
    <phoneticPr fontId="1"/>
  </si>
  <si>
    <t>&lt;全ｷｯﾁﾝ共通 天井高共通&gt; 【1810以降】</t>
    <phoneticPr fontId="1"/>
  </si>
  <si>
    <t>ｷｯﾁﾝﾀﾞｸﾄ(1810) ﾀﾞｸﾄﾊﾟｲﾌﾟ L</t>
    <phoneticPr fontId="1"/>
  </si>
  <si>
    <t>ｷｯﾁﾝﾀﾞｸﾄ(1810) ﾀﾞｸﾄﾊﾟｲﾌﾟ S</t>
    <phoneticPr fontId="1"/>
  </si>
  <si>
    <t>ｷｯﾁﾝﾀﾞｸﾄ(1810) 90°ｴﾙﾎﾞ</t>
    <phoneticPr fontId="1"/>
  </si>
  <si>
    <t>(廃)&lt;ｾｶﾝﾄﾞｷｯﾁﾝ 従来配管&gt;</t>
    <phoneticPr fontId="1"/>
  </si>
  <si>
    <t>ｷｯﾁﾝ 小計</t>
    <phoneticPr fontId="1"/>
  </si>
  <si>
    <t>ｻﾆﾀﾘｰ</t>
    <phoneticPr fontId="1"/>
  </si>
  <si>
    <t>&lt;屋内水道工事基準&gt;</t>
    <phoneticPr fontId="1"/>
  </si>
  <si>
    <t>屋内水道工事基準 工場ﾌﾟﾚ配管(21) 【2510以降】</t>
    <phoneticPr fontId="1"/>
  </si>
  <si>
    <t>&lt;ﾊﾞｽｺｱ&gt;</t>
    <phoneticPr fontId="1"/>
  </si>
  <si>
    <t>ｴｲｼﾞﾚｽﾌﾟﾗｳﾄﾞ 設備ｵﾌﾟｼｮﾝ 断熱ﾌﾀ</t>
    <phoneticPr fontId="1"/>
  </si>
  <si>
    <t>&lt;工場ﾌﾟﾚ配管&gt;</t>
    <phoneticPr fontId="1"/>
  </si>
  <si>
    <t>ﾊﾞｽｺｱ 1階(1707) 工場ﾌﾟﾚ配管</t>
    <phoneticPr fontId="1"/>
  </si>
  <si>
    <t>&lt;配管共通&gt;</t>
    <phoneticPr fontId="1"/>
  </si>
  <si>
    <t>1階浴室床気密工事 (AdFU･BaFU･SrFU･CaFU･1216FU)</t>
    <phoneticPr fontId="1"/>
  </si>
  <si>
    <t>&lt;ｵﾘｼﾞﾅﾙﾗﾝﾄﾞﾘｰ&gt;</t>
    <phoneticPr fontId="1"/>
  </si>
  <si>
    <t>ﾗﾝﾄﾞﾘｰ 09W･07W 【2510以降】</t>
    <phoneticPr fontId="1"/>
  </si>
  <si>
    <t>&lt;ﾗﾝﾄﾞﾘｰ工場ﾌﾟﾚ配管(現地ﾍｯﾀﾞｰ)&gt;</t>
    <phoneticPr fontId="1"/>
  </si>
  <si>
    <t>&lt;ﾗﾝﾄﾞﾘｵｰﾌﾟﾝ棚&gt;</t>
    <phoneticPr fontId="1"/>
  </si>
  <si>
    <t>室内物干ﾌｯｸ(2本) 【2510以降】</t>
    <phoneticPr fontId="1"/>
  </si>
  <si>
    <t>&lt;ﾄｲﾚ本体 工場ﾌﾟﾚ配管(現地ﾍｯﾀﾞｰ)仕様&gt;</t>
    <phoneticPr fontId="1"/>
  </si>
  <si>
    <t>&lt;ﾄｲﾚその他(配管共通)&gt;</t>
    <phoneticPr fontId="1"/>
  </si>
  <si>
    <t>ﾄｲﾚ収納 ﾄｲﾚ壁付収納DX(大)UP分 【2510以降】</t>
    <phoneticPr fontId="1"/>
  </si>
  <si>
    <t>居室･ﾄｲﾚ用換気扇 【2510以降】</t>
    <phoneticPr fontId="1"/>
  </si>
  <si>
    <t>&lt;水廻りその他&gt;</t>
    <phoneticPr fontId="1"/>
  </si>
  <si>
    <t>配管共通 ﾄﾞﾙｺﾞ通気弁 低位通気弁</t>
    <phoneticPr fontId="1"/>
  </si>
  <si>
    <t>配管共通 ﾄﾞﾙｺﾞ通気弁 ﾐﾆ通気弁</t>
    <phoneticPr fontId="1"/>
  </si>
  <si>
    <t>&lt;床下点検口&gt;</t>
    <phoneticPr fontId="1"/>
  </si>
  <si>
    <t>床下点検口(取置) 【2510以降】</t>
    <phoneticPr fontId="1"/>
  </si>
  <si>
    <t>&lt;東&gt;室内物干ﾌｯｸ(1本)取付</t>
    <phoneticPr fontId="1"/>
  </si>
  <si>
    <t>□屋内水道工事雑部材代 式</t>
    <phoneticPr fontId="1"/>
  </si>
  <si>
    <t>&lt;東&gt;屋内水道工事基準 工場ﾌﾟﾚ配管</t>
    <phoneticPr fontId="1"/>
  </si>
  <si>
    <t>ｻﾆﾀﾘｰ 小計</t>
    <phoneticPr fontId="1"/>
  </si>
  <si>
    <t>給湯器</t>
    <phoneticPr fontId="1"/>
  </si>
  <si>
    <t>&lt;給湯器&gt;</t>
    <phoneticPr fontId="1"/>
  </si>
  <si>
    <t>給湯器共通 屋外基礎上設置給湯器 基礎別打設UP分</t>
    <phoneticPr fontId="1"/>
  </si>
  <si>
    <t>&lt;東&gt;給湯器共通 屋外基礎上設置給湯器 基礎補強UP分</t>
    <phoneticPr fontId="1"/>
  </si>
  <si>
    <t>□ｴｺｷｭｰﾄ 施工費</t>
    <phoneticPr fontId="1"/>
  </si>
  <si>
    <t>給湯器 小計</t>
    <phoneticPr fontId="1"/>
  </si>
  <si>
    <t>配管PS</t>
    <phoneticPr fontId="1"/>
  </si>
  <si>
    <t>配管PS 小計</t>
    <phoneticPr fontId="1"/>
  </si>
  <si>
    <t>飲料水貯留ｼｽﾃﾑ</t>
    <phoneticPr fontId="1"/>
  </si>
  <si>
    <t>飲料水貯留ｼｽﾃﾑ 小計</t>
    <phoneticPr fontId="1"/>
  </si>
  <si>
    <t>電気</t>
    <phoneticPr fontId="1"/>
  </si>
  <si>
    <t>&lt;電気&gt;</t>
    <phoneticPr fontId="1"/>
  </si>
  <si>
    <t>電気基準 総ﾕﾆｯﾄ数 【2510以降】</t>
    <phoneticPr fontId="1"/>
  </si>
  <si>
    <t>電気配線 36u×1/4 【2510以降】</t>
    <phoneticPr fontId="1"/>
  </si>
  <si>
    <t>屋内電気工事 基準 《1》積算 【2510以降】</t>
    <phoneticPr fontId="1"/>
  </si>
  <si>
    <t>屋内電気工事 仮設電気工事 《1》積算</t>
    <phoneticPr fontId="1"/>
  </si>
  <si>
    <t>TV</t>
    <phoneticPr fontId="1"/>
  </si>
  <si>
    <t>ﾊｲﾌﾞﾘｯﾄ配線･TV共通 分配器全電通UP分</t>
    <phoneticPr fontId="1"/>
  </si>
  <si>
    <t>TEL</t>
    <phoneticPr fontId="1"/>
  </si>
  <si>
    <t>&lt;ｺﾝｾﾝﾄ･ｽｲｯﾁ&gt;</t>
    <phoneticPr fontId="1"/>
  </si>
  <si>
    <t>室内ｺﾝｾﾝﾄ 箇所数 【2510以降】</t>
    <phoneticPr fontId="1"/>
  </si>
  <si>
    <t>屋外ｺﾝｾﾝﾄ ﾎﾜｲﾄｼﾙﾊﾞｰ･ｼｬﾝﾊﾟﾝﾌﾞﾛﾝｽﾞ色</t>
    <phoneticPr fontId="1"/>
  </si>
  <si>
    <t>防雨型入線ﾌﾟﾚｰﾄ 【2510以降】</t>
    <phoneticPr fontId="1"/>
  </si>
  <si>
    <t>屋外ｺﾝｾﾝﾄ 電気自動車充電専用(200V) ｼｬﾝﾊﾟﾝﾌﾞﾛﾝｽﾞ色</t>
    <phoneticPr fontId="1"/>
  </si>
  <si>
    <t>大容量ｺﾝｾﾝﾄ(ｸｰﾗｰｺﾝｾﾝﾄ含む)</t>
    <phoneticPr fontId="1"/>
  </si>
  <si>
    <t>&lt;分電盤&gt;</t>
    <phoneticPr fontId="1"/>
  </si>
  <si>
    <t>&lt;屋外照明&gt;</t>
    <phoneticPr fontId="1"/>
  </si>
  <si>
    <t>玄関灯(LED) 【2510以降】</t>
    <phoneticPr fontId="1"/>
  </si>
  <si>
    <t>&lt;屋内照明&gt;</t>
    <phoneticPr fontId="1"/>
  </si>
  <si>
    <t>通路･階段･居室用壁付灯 LED電球色 【2510以降】</t>
    <phoneticPr fontId="1"/>
  </si>
  <si>
    <t>人感ｾﾝｻｰ(壁用･天井用) 【2510以降】</t>
    <phoneticPr fontId="1"/>
  </si>
  <si>
    <t>&lt;その他&gt;</t>
    <phoneticPr fontId="1"/>
  </si>
  <si>
    <t>火災警報器 煙(光電式) 設置数</t>
    <phoneticPr fontId="1"/>
  </si>
  <si>
    <t>火災警報器 熱(定温式) 設置数</t>
    <phoneticPr fontId="1"/>
  </si>
  <si>
    <t>&lt;外壁直引込仕様&gt;</t>
    <phoneticPr fontId="1"/>
  </si>
  <si>
    <t>&lt;電気その他&gt;</t>
    <phoneticPr fontId="1"/>
  </si>
  <si>
    <t>□計器BOX工事追加分 箇所</t>
    <phoneticPr fontId="1"/>
  </si>
  <si>
    <t>&lt;宅&gt;気密ｽｲｯﾁ･ｺﾝｾﾝﾄ 棟</t>
    <phoneticPr fontId="1"/>
  </si>
  <si>
    <t>特殊拾出し)LAN工事18000</t>
    <phoneticPr fontId="1"/>
  </si>
  <si>
    <t>&lt;東&gt;屋内電気工事 仮設電気工事</t>
    <phoneticPr fontId="1"/>
  </si>
  <si>
    <t>電気 小計</t>
    <phoneticPr fontId="1"/>
  </si>
  <si>
    <t>TVｳｫｰﾙ</t>
    <phoneticPr fontId="1"/>
  </si>
  <si>
    <t>TVｳｫｰﾙ 小計</t>
    <phoneticPr fontId="1"/>
  </si>
  <si>
    <t>(削)ｳｫｰﾑｴｱﾘｰ</t>
    <phoneticPr fontId="1"/>
  </si>
  <si>
    <t>(削)ｳｫｰﾑｴｱﾘｰ 小計</t>
    <phoneticPr fontId="1"/>
  </si>
  <si>
    <t>(廃)ｳｫｰﾑﾌｧｸﾄﾘｰ</t>
    <phoneticPr fontId="1"/>
  </si>
  <si>
    <t>(廃)ｳｫｰﾑﾌｧｸﾄﾘｰ 小計</t>
    <phoneticPr fontId="1"/>
  </si>
  <si>
    <t>ｳｫｰﾑﾌｧｸﾄﾘｰ</t>
    <phoneticPr fontId="1"/>
  </si>
  <si>
    <t>ｳｫｰﾑﾌｧｸﾄﾘｰ 小計</t>
    <phoneticPr fontId="1"/>
  </si>
  <si>
    <t>ｴｱｰﾌｧｸﾄﾘｰ</t>
    <phoneticPr fontId="1"/>
  </si>
  <si>
    <t>ｴｱｰﾌｧｸﾄﾘｰ 小計</t>
    <phoneticPr fontId="1"/>
  </si>
  <si>
    <t>快適ｴｱﾘｰ</t>
    <phoneticPr fontId="1"/>
  </si>
  <si>
    <t>&lt;快適ｴｱﾘｰ共通&gt; 【1810以降】</t>
    <phoneticPr fontId="1"/>
  </si>
  <si>
    <t>快適ｴｱﾘｰ共通 工場床穴あけUP分【20年以降】 設置数</t>
    <phoneticPr fontId="1"/>
  </si>
  <si>
    <t>快適ｴｱﾘｰ 小計</t>
    <phoneticPr fontId="1"/>
  </si>
  <si>
    <t>加湿ｼｽﾃﾑ</t>
    <phoneticPr fontId="1"/>
  </si>
  <si>
    <t>加湿ｼｽﾃﾑ 小計</t>
    <phoneticPr fontId="1"/>
  </si>
  <si>
    <t>天井埋込空気清浄機</t>
    <phoneticPr fontId="1"/>
  </si>
  <si>
    <t>天井埋込空気清浄機 小計</t>
    <phoneticPr fontId="1"/>
  </si>
  <si>
    <t>太陽光発電</t>
    <phoneticPr fontId="1"/>
  </si>
  <si>
    <t>太陽光発電 小計</t>
    <phoneticPr fontId="1"/>
  </si>
  <si>
    <t>太陽光共通</t>
    <phoneticPr fontId="1"/>
  </si>
  <si>
    <t>太陽光共通 小計</t>
    <phoneticPr fontId="1"/>
  </si>
  <si>
    <t>ｽﾏｰﾄﾊｲﾑﾅﾋﾞ</t>
    <phoneticPr fontId="1"/>
  </si>
  <si>
    <t>ｽﾏｰﾄﾊｲﾑﾅﾋﾞ 小計</t>
    <phoneticPr fontId="1"/>
  </si>
  <si>
    <t>蓄電池</t>
    <phoneticPr fontId="1"/>
  </si>
  <si>
    <t>蓄電池 小計</t>
    <phoneticPr fontId="1"/>
  </si>
  <si>
    <t>ｽﾏｰﾄﾊｲﾑ特別減額</t>
    <phoneticPr fontId="1"/>
  </si>
  <si>
    <t>ｽﾏｰﾄﾊｲﾑ特別減額 小計</t>
    <phoneticPr fontId="1"/>
  </si>
  <si>
    <t>(廃)ｽﾏｰﾄﾊｲﾑﾓﾆﾀｰ</t>
    <phoneticPr fontId="1"/>
  </si>
  <si>
    <t>(廃)ｽﾏｰﾄﾊｲﾑﾓﾆﾀｰ 小計</t>
    <phoneticPr fontId="1"/>
  </si>
  <si>
    <t>基礎工事費</t>
    <phoneticPr fontId="1"/>
  </si>
  <si>
    <t>&lt;ﾍﾞﾀ基礎 共通【1010以降】&gt;</t>
    <phoneticPr fontId="1"/>
  </si>
  <si>
    <t>基礎基準(ﾍﾞﾀ基礎仕様A)中束ﾌﾟﾚ仕様 【2510以降】</t>
    <phoneticPr fontId="1"/>
  </si>
  <si>
    <t>基礎部材費UP分(ﾍﾞﾀ基礎仕様A) ㎡ 【2510以降】</t>
    <phoneticPr fontId="1"/>
  </si>
  <si>
    <t>ﾎﾟﾝﾌﾟ車(ﾍﾞﾀ基礎) 【2010以降】</t>
    <phoneticPr fontId="1"/>
  </si>
  <si>
    <t>ﾍﾞﾀ基礎仕様A 残土処分費【1310以降】 積雪地 1階ﾕﾆｯﾄ㎡</t>
    <phoneticPr fontId="1"/>
  </si>
  <si>
    <t>相殺項目</t>
    <phoneticPr fontId="1"/>
  </si>
  <si>
    <t>&lt;ﾍﾞﾀ基礎仕様A:束&gt;</t>
    <phoneticPr fontId="1"/>
  </si>
  <si>
    <t>束(27～36u)【2510以降】 【中束ﾌﾟﾚ仕様】</t>
    <phoneticPr fontId="1"/>
  </si>
  <si>
    <t>束(41～54u)【2510以降】 【中束ﾌﾟﾚ仕様】</t>
    <phoneticPr fontId="1"/>
  </si>
  <si>
    <t>&lt;ﾍﾞﾀ基礎仕様A:妻中基礎&gt;</t>
    <phoneticPr fontId="1"/>
  </si>
  <si>
    <t>妻中基礎 NF･ELVN 標準 【1604以降】</t>
    <phoneticPr fontId="1"/>
  </si>
  <si>
    <t>&lt;構造等級WB/WE/C&gt; MS150 附属ﾒﾆｭｰ有1【1604以降】</t>
    <phoneticPr fontId="1"/>
  </si>
  <si>
    <t>&lt;構造等級WB/WE/C&gt; MS150 附属ﾒﾆｭｰ有1 桁端梁(ｼﾝｸﾞﾙ配筋基礎) 900単位 【2410以降】</t>
    <phoneticPr fontId="1"/>
  </si>
  <si>
    <t>&lt;構造等級WB/WE/C&gt; MS150 附属ﾒﾆｭｰ有1 桁端梁(ｼﾝｸﾞﾙ配筋基礎)&lt;入隅部&gt; 900単位 【2410以降】</t>
    <phoneticPr fontId="1"/>
  </si>
  <si>
    <t>&lt;構造等級WB/WE/C&gt; MS150 附属ﾒﾆｭｰ有1【1604以降】 妻端梁(外周) 標準</t>
    <phoneticPr fontId="1"/>
  </si>
  <si>
    <t>&lt;構造等級WB/WE/C&gt; MS150 附属ﾒﾆｭｰ有1【1604以降】 ｽﾗﾌﾞ部分標準用 36U×1/4</t>
    <phoneticPr fontId="1"/>
  </si>
  <si>
    <t>&lt;基礎共通&gt;</t>
    <phoneticPr fontId="1"/>
  </si>
  <si>
    <t>基礎ｽﾘｰﾌﾞ(ﾍﾞﾀ基礎仕様) ﾍﾞﾀA 【2407以降】</t>
    <phoneticPr fontId="1"/>
  </si>
  <si>
    <t>基礎ｽﾘｰﾌﾞ(ﾍﾞﾀ基礎仕様) 基礎防水強化UP分 地中ｽﾘｰﾌﾞ 【2510以降】</t>
    <phoneticPr fontId="1"/>
  </si>
  <si>
    <t>基礎弾性塗装ｼｽﾃﾑⅡ 1層塗り 塗料費 缶 【2510以降】</t>
    <phoneticPr fontId="1"/>
  </si>
  <si>
    <t>基礎弾性塗装ｼｽﾃﾑⅡ 1層塗り 施工費 塗装㎡【2510以降】</t>
    <phoneticPr fontId="1"/>
  </si>
  <si>
    <t>基礎上水切 基礎断熱仕様(工場出荷)【1310以降】900単位</t>
    <phoneticPr fontId="1"/>
  </si>
  <si>
    <t>基礎上水切 基礎断熱仕様(工場出荷)【1310以降】450単位</t>
    <phoneticPr fontId="1"/>
  </si>
  <si>
    <t>&lt;省ｴﾈ基礎断熱仕様【2110以降】&gt;</t>
    <phoneticPr fontId="1"/>
  </si>
  <si>
    <t>XPS2仕様 900単位 【2510以降】</t>
    <phoneticPr fontId="1"/>
  </si>
  <si>
    <t>XPS2仕様 450単位 【2510以降】</t>
    <phoneticPr fontId="1"/>
  </si>
  <si>
    <t>&lt;基礎ｱﾝｶｰ強化仕様&gt;</t>
    <phoneticPr fontId="1"/>
  </si>
  <si>
    <t>ｱﾝｶｰ強化ⅡUP分 妻端 【2510以降】</t>
    <phoneticPr fontId="1"/>
  </si>
  <si>
    <t>ｱﾝｶｰﾎﾞﾙﾄUP分 PaN･DoS･SPSGRS･ELVN 1階ﾕﾆｯﾄ数</t>
    <phoneticPr fontId="1"/>
  </si>
  <si>
    <t>基礎工事費 小計</t>
    <phoneticPr fontId="1"/>
  </si>
  <si>
    <t>(削)基礎工事費(旧仕様)</t>
    <phoneticPr fontId="1"/>
  </si>
  <si>
    <t>(削)基礎工事費(旧仕様) 小計</t>
    <phoneticPr fontId="1"/>
  </si>
  <si>
    <t>&lt;据付工事&gt;</t>
    <phoneticPr fontId="1"/>
  </si>
  <si>
    <t>ﾚｯｶｰ 基準 ｢1｣積算</t>
    <phoneticPr fontId="1"/>
  </si>
  <si>
    <t>据付工事 基準 4aⅡ仕様以外 【2110以降】 ｢1｣積算</t>
    <phoneticPr fontId="1"/>
  </si>
  <si>
    <t>足場 基準 ｢1｣積算</t>
    <phoneticPr fontId="1"/>
  </si>
  <si>
    <t>足場 De･DeN以外 ㎡</t>
    <phoneticPr fontId="1"/>
  </si>
  <si>
    <t>据付工事 (2210) 総ﾕﾆｯﾄ数</t>
    <phoneticPr fontId="1"/>
  </si>
  <si>
    <t>&lt;大工工事&gt;</t>
    <phoneticPr fontId="1"/>
  </si>
  <si>
    <t>大工工事 基準 ｢1｣積算 (22)</t>
    <phoneticPr fontId="1"/>
  </si>
  <si>
    <t>大工工事【2104以降】 36U×1/4</t>
    <phoneticPr fontId="1"/>
  </si>
  <si>
    <t>大工工事 共通 つなぎ床板なし ﾀﾀﾐ･ﾀｲﾙｶｰﾍﾟｯﾄUP分(床板大判化) 900単位</t>
    <phoneticPr fontId="1"/>
  </si>
  <si>
    <t>&lt;その他標準工事費&gt;</t>
    <phoneticPr fontId="1"/>
  </si>
  <si>
    <t>後片付手間 36U×1/4</t>
    <phoneticPr fontId="1"/>
  </si>
  <si>
    <t>&lt;東&gt;足場安全対策費 棟</t>
    <phoneticPr fontId="1"/>
  </si>
  <si>
    <t>&lt;東&gt;足場巾木 棟</t>
    <phoneticPr fontId="1"/>
  </si>
  <si>
    <t>&lt;東&gt;足場計画図 棟</t>
    <phoneticPr fontId="1"/>
  </si>
  <si>
    <t>&lt;東&gt;2度掛け足場費 棟</t>
    <phoneticPr fontId="1"/>
  </si>
  <si>
    <t>&lt;東&gt;再清掃 ㎡</t>
    <phoneticPr fontId="1"/>
  </si>
  <si>
    <t>大型ﾚｯｶｰUP分50ｔ38000</t>
    <phoneticPr fontId="1"/>
  </si>
  <si>
    <t>据付大工工事費その他 小計</t>
    <phoneticPr fontId="1"/>
  </si>
  <si>
    <t>共通本体工事</t>
    <phoneticPr fontId="1"/>
  </si>
  <si>
    <t>&lt;共通本体工事&gt;</t>
    <phoneticPr fontId="1"/>
  </si>
  <si>
    <t>&lt;東&gt;残材処理 延べ床面積 ㎡</t>
    <phoneticPr fontId="1"/>
  </si>
  <si>
    <t>&lt;東&gt;室内養生材料費 棟</t>
    <phoneticPr fontId="1"/>
  </si>
  <si>
    <t>&lt;東&gt;建材 U数</t>
    <phoneticPr fontId="1"/>
  </si>
  <si>
    <t>共通本体工事 小計</t>
    <phoneticPr fontId="1"/>
  </si>
  <si>
    <t>共通基礎工事</t>
    <phoneticPr fontId="1"/>
  </si>
  <si>
    <t>&lt;共通基礎工事&gt;</t>
    <phoneticPr fontId="1"/>
  </si>
  <si>
    <t>&lt;東&gt;ｶﾞｰﾄﾞﾏﾝ(基礎施工時) 人</t>
    <phoneticPr fontId="1"/>
  </si>
  <si>
    <t>&lt;東&gt;生ｺﾝ圧縮強度試験 棟</t>
    <phoneticPr fontId="1"/>
  </si>
  <si>
    <t>□生ｺﾝ調整費 式</t>
    <phoneticPr fontId="1"/>
  </si>
  <si>
    <t>□基礎埋戻工事(客土) m3</t>
    <phoneticPr fontId="1"/>
  </si>
  <si>
    <t>□ﾚｯｶｰ車乗入部整地工事 式</t>
    <phoneticPr fontId="1"/>
  </si>
  <si>
    <t>共通基礎工事 小計</t>
    <phoneticPr fontId="1"/>
  </si>
  <si>
    <t>共通据付工事</t>
    <phoneticPr fontId="1"/>
  </si>
  <si>
    <t>&lt;共通据付工事&gt;</t>
    <phoneticPr fontId="1"/>
  </si>
  <si>
    <t>&lt;東&gt;ｶﾞｰﾄﾞﾏﾝ(棟上施工時) 人</t>
    <phoneticPr fontId="1"/>
  </si>
  <si>
    <t>&lt;東&gt;大型車輌通行許可申請費 棟</t>
    <phoneticPr fontId="1"/>
  </si>
  <si>
    <t>□鉄板養生(6枚) ｾｯﾄ</t>
    <phoneticPr fontId="1"/>
  </si>
  <si>
    <t>□鉄板養生追加分 枚</t>
    <phoneticPr fontId="1"/>
  </si>
  <si>
    <t>□電線防護 本</t>
    <phoneticPr fontId="1"/>
  </si>
  <si>
    <t>共通据付工事 小計</t>
    <phoneticPr fontId="1"/>
  </si>
  <si>
    <t>仮設工事</t>
    <phoneticPr fontId="1"/>
  </si>
  <si>
    <t>&lt;仮設工事&gt;</t>
    <phoneticPr fontId="1"/>
  </si>
  <si>
    <t>&lt;東&gt;標準仮設ｾｯﾄ 棟</t>
    <phoneticPr fontId="1"/>
  </si>
  <si>
    <t>□2次配送･ｺﾝﾃﾅ 棟</t>
    <phoneticPr fontId="1"/>
  </si>
  <si>
    <t>仮設工事 小計</t>
    <phoneticPr fontId="1"/>
  </si>
  <si>
    <t>用地整備</t>
    <phoneticPr fontId="1"/>
  </si>
  <si>
    <t>&lt;用地整備&gt;</t>
    <phoneticPr fontId="1"/>
  </si>
  <si>
    <t>□整地工事(砕石6号敷) ㎡</t>
    <phoneticPr fontId="1"/>
  </si>
  <si>
    <t>□整地工事(ならしのみ) ㎡</t>
    <phoneticPr fontId="1"/>
  </si>
  <si>
    <t>用地整備 小計</t>
    <phoneticPr fontId="1"/>
  </si>
  <si>
    <t>その他経費</t>
    <phoneticPr fontId="1"/>
  </si>
  <si>
    <t>&lt;その他経費&gt;</t>
    <phoneticPr fontId="1"/>
  </si>
  <si>
    <t>&lt;東&gt;工事調整費 ㎡</t>
    <phoneticPr fontId="1"/>
  </si>
  <si>
    <t>&lt;東&gt;冬期対策費 ㎡</t>
    <phoneticPr fontId="1"/>
  </si>
  <si>
    <t>&lt;東&gt;現況測量費 棟</t>
    <phoneticPr fontId="1"/>
  </si>
  <si>
    <t>&lt;東&gt;地耐力調査費 液状化判定UP分 棟</t>
    <phoneticPr fontId="1"/>
  </si>
  <si>
    <t>&lt;東&gt;設備10年延長保証 式</t>
    <phoneticPr fontId="1"/>
  </si>
  <si>
    <t>&lt;東&gt;基礎配筋検査費 棟</t>
    <phoneticPr fontId="1"/>
  </si>
  <si>
    <t>&lt;東&gt;ｼﾞｮｲﾝﾄﾎﾞﾙﾄ検査 棟</t>
    <phoneticPr fontId="1"/>
  </si>
  <si>
    <t>&lt;東&gt;地耐力調査費 棟</t>
    <phoneticPr fontId="1"/>
  </si>
  <si>
    <t>&lt;東&gt;組立(火災)保険料 延べ床面積 ㎡</t>
    <phoneticPr fontId="1"/>
  </si>
  <si>
    <t>&lt;東&gt;労災保険料 延べ床面積 ㎡</t>
    <phoneticPr fontId="1"/>
  </si>
  <si>
    <t>&lt;東&gt;お手入れｾｯﾄ 棟</t>
    <phoneticPr fontId="1"/>
  </si>
  <si>
    <t>&lt;東&gt;性能測定費 棟</t>
    <phoneticPr fontId="1"/>
  </si>
  <si>
    <t>&lt;東&gt;ｷｽﾞ補修 棟</t>
    <phoneticPr fontId="1"/>
  </si>
  <si>
    <t>&lt;東&gt;52部材基準費用 ㎡</t>
    <phoneticPr fontId="1"/>
  </si>
  <si>
    <t>&lt;東&gt;電線ﾜﾝﾀｯﾁｺﾈｸﾀ 式</t>
    <phoneticPr fontId="1"/>
  </si>
  <si>
    <t>&lt;東&gt;工事期間駐車場代 式</t>
    <phoneticPr fontId="1"/>
  </si>
  <si>
    <t>&lt;東&gt;待機場所費用 棟</t>
    <phoneticPr fontId="1"/>
  </si>
  <si>
    <t>&lt;東&gt;長期優良住宅申請料 棟</t>
    <phoneticPr fontId="1"/>
  </si>
  <si>
    <t>&lt;東&gt;長期優良住宅申請(代願費用) 棟</t>
    <phoneticPr fontId="1"/>
  </si>
  <si>
    <t>▽□下検査費 棟</t>
    <phoneticPr fontId="1"/>
  </si>
  <si>
    <t>□遠隔地経費 棟</t>
    <phoneticPr fontId="1"/>
  </si>
  <si>
    <t>□電線防護申請料 式</t>
    <phoneticPr fontId="1"/>
  </si>
  <si>
    <t>□◇仮設電気組合負担金(山形･秋田･青森) 棟</t>
    <phoneticPr fontId="1"/>
  </si>
  <si>
    <t>その他経費 小計</t>
    <phoneticPr fontId="1"/>
  </si>
  <si>
    <t>申請料 棟</t>
    <phoneticPr fontId="1"/>
  </si>
  <si>
    <t>&lt;申請料&gt;</t>
    <phoneticPr fontId="1"/>
  </si>
  <si>
    <t>&lt;東&gt;建築確認申請料 棟</t>
    <phoneticPr fontId="1"/>
  </si>
  <si>
    <t>&lt;東&gt;建築確認申請(代願費用) 棟</t>
    <phoneticPr fontId="1"/>
  </si>
  <si>
    <t>&lt;東&gt;BELS申請料(戸建) 棟</t>
    <phoneticPr fontId="1"/>
  </si>
  <si>
    <t>申請料 棟 小計</t>
    <phoneticPr fontId="1"/>
  </si>
  <si>
    <t>申請手数料</t>
    <phoneticPr fontId="1"/>
  </si>
  <si>
    <t>申請手数料 小計</t>
    <phoneticPr fontId="1"/>
  </si>
  <si>
    <t>附帯工事</t>
    <phoneticPr fontId="1"/>
  </si>
  <si>
    <t>&lt;附帯工事&gt;</t>
    <phoneticPr fontId="1"/>
  </si>
  <si>
    <t>&lt;東&gt;屋外電気工事基準</t>
    <phoneticPr fontId="1"/>
  </si>
  <si>
    <t>&lt;東&gt;電気幹線材料費 棟</t>
    <phoneticPr fontId="1"/>
  </si>
  <si>
    <t>□引込開閉器 箇所</t>
    <phoneticPr fontId="1"/>
  </si>
  <si>
    <t>附帯工事 小計</t>
    <phoneticPr fontId="1"/>
  </si>
  <si>
    <t>別途工事</t>
    <phoneticPr fontId="1"/>
  </si>
  <si>
    <t>【個別設計費用】</t>
    <phoneticPr fontId="1"/>
  </si>
  <si>
    <t>MH-001G 天井補強合板仕様(妻端以外)</t>
    <phoneticPr fontId="1"/>
  </si>
  <si>
    <t>【拠点別積算項目】</t>
    <phoneticPr fontId="1"/>
  </si>
  <si>
    <t>□残土工事㎡(202501から)</t>
    <phoneticPr fontId="1"/>
  </si>
  <si>
    <t>□積雪対応費 棟</t>
    <phoneticPr fontId="1"/>
  </si>
  <si>
    <t>□お引き渡し準備費 棟</t>
    <phoneticPr fontId="1"/>
  </si>
  <si>
    <t>□電気引込金具</t>
    <phoneticPr fontId="1"/>
  </si>
  <si>
    <t>【設計見積】</t>
    <phoneticPr fontId="1"/>
  </si>
  <si>
    <t>□(床下･換気)点検口特殊位置施工</t>
    <phoneticPr fontId="1"/>
  </si>
  <si>
    <t>□(換気扇･OAEA･ｽﾘｰﾌﾞ)現地穴あけ</t>
    <phoneticPr fontId="1"/>
  </si>
  <si>
    <t>□垂れ壁900単位</t>
    <phoneticPr fontId="1"/>
  </si>
  <si>
    <t>□ﾚﾝｼﾞﾌｰﾄﾞ配管延長(L=900)</t>
    <phoneticPr fontId="1"/>
  </si>
  <si>
    <t>□ｷｯﾁﾝﾀﾞｸﾄ施工費一式電気 6,600 棟当り1</t>
    <phoneticPr fontId="1"/>
  </si>
  <si>
    <t>□ｷｯﾁﾝ･ﾄｲﾚﾀﾞｸﾄ部天井下げ 妻2250×900</t>
    <phoneticPr fontId="1"/>
  </si>
  <si>
    <t>□電気ｽｲｯﾁｺﾝｾﾝﾄ位置調整</t>
    <phoneticPr fontId="1"/>
  </si>
  <si>
    <t>別途工事 小計</t>
    <phoneticPr fontId="1"/>
  </si>
  <si>
    <t>平屋ｼﾘｰｽﾞ減額</t>
    <phoneticPr fontId="1"/>
  </si>
  <si>
    <t>平屋ｼﾘｰｽﾞ減額 小計</t>
    <phoneticPr fontId="1"/>
  </si>
  <si>
    <t>[G]&lt;積雪減額&gt;</t>
    <phoneticPr fontId="1"/>
  </si>
  <si>
    <t>特別値引き 小計</t>
    <phoneticPr fontId="1"/>
  </si>
  <si>
    <t>項目2</t>
  </si>
  <si>
    <t>列1</t>
  </si>
  <si>
    <t>列2</t>
  </si>
  <si>
    <t>列3</t>
  </si>
  <si>
    <t>列4</t>
  </si>
  <si>
    <t>ﾀｲﾙ外壁</t>
    <rPh sb="3" eb="5">
      <t>ガイヘキ</t>
    </rPh>
    <phoneticPr fontId="4"/>
  </si>
  <si>
    <t>ｼﾝｾ厚ﾀｲﾙ外壁ﾚｼﾞﾃﾞﾝｽ</t>
    <rPh sb="3" eb="4">
      <t>アツ</t>
    </rPh>
    <rPh sb="7" eb="9">
      <t>ガイヘキ</t>
    </rPh>
    <phoneticPr fontId="4"/>
  </si>
  <si>
    <t>ｼﾝｾ厚ﾀｲﾙ外壁ﾚｼﾞﾃﾞﾝｽ-ﾌﾟﾚﾐｱｶﾗｰ</t>
    <rPh sb="3" eb="4">
      <t>アツ</t>
    </rPh>
    <rPh sb="7" eb="9">
      <t>ガイヘキ</t>
    </rPh>
    <phoneticPr fontId="4"/>
  </si>
  <si>
    <t>ｼﾝｾﾗｲﾄt20外壁(ｼｪﾙｸﾘｱ以外)</t>
    <rPh sb="9" eb="11">
      <t>ガイヘキ</t>
    </rPh>
    <rPh sb="18" eb="20">
      <t>イガイ</t>
    </rPh>
    <phoneticPr fontId="4"/>
  </si>
  <si>
    <t>ｼﾝｾﾗｲﾄt20外壁ﾏｲｶ色</t>
    <rPh sb="9" eb="11">
      <t>ガイヘキ</t>
    </rPh>
    <rPh sb="14" eb="15">
      <t>イロ</t>
    </rPh>
    <phoneticPr fontId="4"/>
  </si>
  <si>
    <t>ｼﾝｾﾗｲﾄ外壁Gﾀｲﾌﾟ(ｼｪﾙｸﾘｱ以外)</t>
    <rPh sb="6" eb="8">
      <t>ガイヘキ</t>
    </rPh>
    <rPh sb="19" eb="21">
      <t>イガイ</t>
    </rPh>
    <rPh sb="21" eb="22">
      <t>）</t>
    </rPh>
    <phoneticPr fontId="4"/>
  </si>
  <si>
    <t>ｼﾝｾﾗｲﾄ外壁(ｼｪﾙｸﾘｱ以外)</t>
    <rPh sb="6" eb="8">
      <t>ガイヘキ</t>
    </rPh>
    <rPh sb="15" eb="17">
      <t>イガイ</t>
    </rPh>
    <phoneticPr fontId="4"/>
  </si>
  <si>
    <t>ｼﾝｾﾗｲﾄ外壁(ｼｪﾙｸﾘｱ)</t>
    <phoneticPr fontId="4"/>
  </si>
  <si>
    <t>PS外窓ﾄﾘﾌﾟﾙ(引違い) ﾄｰﾙ･ﾊｲ 1800 【2510以降】</t>
    <phoneticPr fontId="1"/>
  </si>
  <si>
    <t>内装工事 壁(廻り縁 有)1階 収納･ﾄｲﾚ以外 900単位</t>
    <phoneticPr fontId="1"/>
  </si>
  <si>
    <t>内装工事 壁(廻り縁 有)1階 収納･ﾄｲﾚ以外 225単位</t>
    <phoneticPr fontId="1"/>
  </si>
  <si>
    <t>内装工事 壁(廻り縁 有)1階 ﾄｲﾚ 900単位</t>
    <phoneticPr fontId="1"/>
  </si>
  <si>
    <t>廻り縁工事 1階 収納以外 900単位</t>
    <phoneticPr fontId="1"/>
  </si>
  <si>
    <t>廻り縁 SR 調整分 900単位 【2210以降】</t>
    <phoneticPr fontId="1"/>
  </si>
  <si>
    <t>巾木工事 1階 収納･ﾄｲﾚ 現地取付 225単位</t>
    <phoneticPr fontId="1"/>
  </si>
  <si>
    <t>ｸﾛｾｯﾄﾄﾞｱ 共通 現地取付UP分 折戸固定1枚</t>
    <phoneticPr fontId="1"/>
  </si>
  <si>
    <t>&lt;和収納共通&gt;</t>
    <phoneticPr fontId="1"/>
  </si>
  <si>
    <t>ｴｲｼﾞﾚｽﾌﾟﾗｳﾄﾞ【219以降】 手摺 浴室手摺UP分</t>
    <phoneticPr fontId="1"/>
  </si>
  <si>
    <t>&lt;LC洗面&gt; 【22年8月契約以降】</t>
    <phoneticPr fontId="1"/>
  </si>
  <si>
    <t>LC洗面 ﾀｵﾙ掛け ｽﾀﾝﾀﾞｰﾄﾞ 【2210以降】</t>
    <phoneticPr fontId="1"/>
  </si>
  <si>
    <t>PC･LC･LK･IL･PCL･SC洗面 1階 工場ﾌﾟﾚ配管 【2510以降】</t>
    <phoneticPr fontId="1"/>
  </si>
  <si>
    <t>ﾄｲﾚ手摺 I型手摺</t>
    <phoneticPr fontId="1"/>
  </si>
  <si>
    <t>ﾊﾞﾙｺﾆｰ灯･勝手口灯(LED) 【2510以降】</t>
    <phoneticPr fontId="1"/>
  </si>
  <si>
    <t>&lt;東&gt;&lt;ｼﾝｸﾞﾙﾍﾞﾀ凍結深度450&gt;</t>
    <phoneticPr fontId="1"/>
  </si>
  <si>
    <t>MH-004B31500 換気･床下点検口 ﾊﾞｽｺｱ隣接(縦置き妻入)</t>
    <phoneticPr fontId="1"/>
  </si>
  <si>
    <t>MH-015F +200/700 17500 新ｴｱｺﾝ配管東北仕様外壁(450) φ70 FL</t>
    <phoneticPr fontId="1"/>
  </si>
  <si>
    <t xml:space="preserve">ﾃﾗｽﾊﾞﾙｺﾆｰ手摺 ﾏｲｶ色UP分 </t>
  </si>
  <si>
    <t>(BB･PW･PR)UP分900単位</t>
  </si>
  <si>
    <t>(TW･VB･MB)UP分900単位</t>
  </si>
  <si>
    <t>構造体調整(積雪地)【1810以降】 36u×1/4</t>
  </si>
  <si>
    <t>ﾀｲﾙ</t>
  </si>
  <si>
    <t>SFC・ｼﾞｵﾏｲﾄ</t>
  </si>
  <si>
    <t>外壁</t>
    <rPh sb="0" eb="2">
      <t>ガイヘキ</t>
    </rPh>
    <phoneticPr fontId="4"/>
  </si>
  <si>
    <t>ｸｰﾗｰｽﾘｰﾌﾞ ﾀｲﾙ･ﾚｼﾞﾃﾞﾝｽﾀｲﾙ･BR外壁(ｽﾘｰﾌﾞ工場施工)箇所 【2510以降】</t>
    <phoneticPr fontId="1"/>
  </si>
  <si>
    <t>項目3</t>
  </si>
  <si>
    <t>ｼﾝｾﾗｲﾄt20外壁ﾏｲｶ色</t>
  </si>
  <si>
    <t>ｼﾝｾ厚ﾀｲﾙ外壁ﾚｼﾞﾃﾞﾝｽ</t>
  </si>
  <si>
    <t>ｼﾝｾ厚ﾀｲﾙ外壁ﾚｼﾞﾃﾞﾝｽ-ﾌﾟﾚﾐｱｶﾗｰ</t>
  </si>
  <si>
    <t>外壁差額</t>
  </si>
  <si>
    <t>外壁差額</t>
    <rPh sb="0" eb="2">
      <t>ガイヘキ</t>
    </rPh>
    <rPh sb="2" eb="4">
      <t>サガク</t>
    </rPh>
    <phoneticPr fontId="1"/>
  </si>
  <si>
    <t>調整費含む合計</t>
    <rPh sb="0" eb="2">
      <t>チョウセイ</t>
    </rPh>
    <rPh sb="2" eb="3">
      <t>ヒ</t>
    </rPh>
    <rPh sb="3" eb="4">
      <t>フク</t>
    </rPh>
    <rPh sb="5" eb="7">
      <t>ゴウケイ</t>
    </rPh>
    <phoneticPr fontId="4"/>
  </si>
  <si>
    <t>調整費含む合計</t>
    <phoneticPr fontId="1"/>
  </si>
  <si>
    <t>&lt;ﾌﾗｯﾄﾜｲﾄﾞﾎﾟｰﾁ&gt;</t>
    <phoneticPr fontId="1"/>
  </si>
  <si>
    <t>ﾌﾗｯﾄﾜｲﾄﾞﾎﾟｰﾁ･屋根延長ﾎﾟｰﾁ共通 丸柱(積雪) 本</t>
    <phoneticPr fontId="1"/>
  </si>
  <si>
    <t>ﾌﾗｯﾄﾜｲﾄﾞﾎﾟｰﾁ･屋根延長ﾎﾟｰﾁ共通 ｽﾃｯﾌﾟｽﾗﾌﾞ一体構造基礎 減額分 丸柱･角柱(積雪) 本</t>
    <phoneticPr fontId="1"/>
  </si>
  <si>
    <t>ｽﾃｯﾌﾟ3段ﾀｲﾙ仕上げ 標準1 奥行15以上 面積㎡</t>
    <phoneticPr fontId="1"/>
  </si>
  <si>
    <t>内装工事 天井 2階【1910以降】 収納･洗面･ﾄｲﾚ以外 新36U×1/4</t>
    <phoneticPr fontId="1"/>
  </si>
  <si>
    <t>内装工事 天井 2階【1910以降】 収納･洗面･ﾄｲﾚ 新36U×1/4</t>
    <phoneticPr fontId="1"/>
  </si>
  <si>
    <t>内装工事 壁(廻り縁 無)1階 収納･ﾄｲﾚ以外 225単位</t>
    <phoneticPr fontId="1"/>
  </si>
  <si>
    <t>内装工事 壁(廻り縁 有)1階 ﾄｲﾚ 225単位</t>
    <phoneticPr fontId="1"/>
  </si>
  <si>
    <t>内装工事 壁(廻り縁 有)1階 収納 225単位</t>
    <phoneticPr fontId="1"/>
  </si>
  <si>
    <t>内装工事 壁(廻り縁 無)2階【1910以降】 収納･ﾄｲﾚ以外 225単位</t>
    <phoneticPr fontId="1"/>
  </si>
  <si>
    <t>内装工事 壁(廻り縁 有)2階【1910以降】 収納･ﾄｲﾚ以外 900単位</t>
    <phoneticPr fontId="1"/>
  </si>
  <si>
    <t>内装工事 壁(廻り縁 有)2階【1910以降】 ﾄｲﾚ 900単位</t>
    <phoneticPr fontId="1"/>
  </si>
  <si>
    <t>内装工事 壁(廻り縁 有)2階【1910以降】 ﾄｲﾚ 225単位</t>
    <phoneticPr fontId="1"/>
  </si>
  <si>
    <t>内装工事 壁(廻り縁 有)2階【1910以降】 収納 900単位</t>
    <phoneticPr fontId="1"/>
  </si>
  <si>
    <t>廻り縁工事 2階【1910以降】 収納以外 900単位</t>
    <phoneticPr fontId="1"/>
  </si>
  <si>
    <t>廻り縁工事 2階【1910以降】 収納 現地仕上 900単位</t>
    <phoneticPr fontId="1"/>
  </si>
  <si>
    <t>廻り縁工事 調整分 吹抜け部 工場取付 900単位</t>
    <phoneticPr fontId="1"/>
  </si>
  <si>
    <t>ﾌﾛｰﾘﾝｸﾞ貼･ｺﾙｸﾌﾛｱ貼 2階以上 新36U×1/4</t>
    <phoneticPr fontId="1"/>
  </si>
  <si>
    <t>ｿﾌﾄﾌﾛｱｰ貼 2階以上 新36U×1/4</t>
    <phoneticPr fontId="1"/>
  </si>
  <si>
    <t>遮音Zｼｰﾄ貼UP分 LAW-60 新36U×1/4 【2210以降】</t>
    <phoneticPr fontId="1"/>
  </si>
  <si>
    <t>&lt;ｼﾝﾌﾟﾙﾗｯｸｼｽﾃﾑ Sﾀｲﾌﾟ&gt;</t>
    <phoneticPr fontId="1"/>
  </si>
  <si>
    <t>&lt;Jﾌﾚｷｼﾌﾞﾙｽﾍﾟｰｽ&gt;</t>
    <phoneticPr fontId="1"/>
  </si>
  <si>
    <t>JFS畳寄せUP分 900単位 【2210以降】</t>
    <phoneticPr fontId="1"/>
  </si>
  <si>
    <t>SH框 900単位 【2210以降】</t>
    <phoneticPr fontId="1"/>
  </si>
  <si>
    <t>SH框 225単位 【2210以降】</t>
    <phoneticPr fontId="1"/>
  </si>
  <si>
    <t>&lt;階段･吹抜&gt;</t>
    <phoneticPr fontId="1"/>
  </si>
  <si>
    <t>&lt;ｵ-ﾙｺﾝﾌｫｰﾄACRｷｯﾁﾝ 天井共通&gt; 【1810以降】</t>
    <phoneticPr fontId="1"/>
  </si>
  <si>
    <t>ACRｷｯﾁﾝ 本体工事基準(1810)</t>
    <phoneticPr fontId="1"/>
  </si>
  <si>
    <t>&lt;東&gt;ｷｯﾁﾝUP分(1604) 式</t>
    <phoneticPr fontId="1"/>
  </si>
  <si>
    <t>&lt;配管PS&gt;</t>
    <phoneticPr fontId="1"/>
  </si>
  <si>
    <t>屋内PS</t>
    <phoneticPr fontId="1"/>
  </si>
  <si>
    <t>屋内PS 遮音PS本体 個</t>
    <phoneticPr fontId="1"/>
  </si>
  <si>
    <t>屋内PS 遮音PS配管(DB75) 本</t>
    <phoneticPr fontId="1"/>
  </si>
  <si>
    <t>分電盤 30Aﾌﾞﾚｰｶｰ 個数</t>
    <phoneticPr fontId="1"/>
  </si>
  <si>
    <t>計器BOX1窓下箱無</t>
    <phoneticPr fontId="1"/>
  </si>
  <si>
    <t>□TVｱﾝﾃﾅ 庇下 UHF平面(高性能)+BS･CS各単独</t>
    <phoneticPr fontId="1"/>
  </si>
  <si>
    <t>&lt;東&gt;TVｱﾝﾃﾅ 外壁下地補強UP分 箇所</t>
    <phoneticPr fontId="1"/>
  </si>
  <si>
    <t>営業経費</t>
    <phoneticPr fontId="1"/>
  </si>
  <si>
    <t>仮)個別設計)屋外ｺﾝｾﾝﾄ照明特殊位置設置</t>
    <phoneticPr fontId="1"/>
  </si>
  <si>
    <t>屋根補強UP分</t>
    <phoneticPr fontId="1"/>
  </si>
  <si>
    <t>構造体調整(積雪地)【1810以降】 ﾀｲﾙ外壁 36u×1/4</t>
    <phoneticPr fontId="1"/>
  </si>
  <si>
    <t>&lt;PS外窓(ｻｯｼ引手)&gt;</t>
    <phoneticPr fontId="1"/>
  </si>
  <si>
    <t>内装工事 壁(廻り縁 有)2階【1910以降】 収納･ﾄｲﾚ以外 225単位</t>
    <phoneticPr fontId="1"/>
  </si>
  <si>
    <t>快適ｴｱﾘｰ･ｳｫｰﾑﾌｧｸﾄﾘｰ/N(床下ふく射)UP分【2010以</t>
    <phoneticPr fontId="1"/>
  </si>
  <si>
    <t>降】 捨貼合板UP分(Bｸﾞﾚｰﾄﾞ) 新36U×1/4</t>
    <phoneticPr fontId="1"/>
  </si>
  <si>
    <t>巾木工事 2階【1910以降】900単位 収納･ﾄｲﾚ以外 現地取付</t>
    <phoneticPr fontId="1"/>
  </si>
  <si>
    <t>巾木工事 2階【1910以降】単位 収納･ﾄｲﾚ 現地取付</t>
    <phoneticPr fontId="1"/>
  </si>
  <si>
    <t>寒冷地ﾌﾟﾚ配管管 現地ﾍｯﾀﾞｰUP分 ﾊﾞｽｺｱ1階 工場ﾌﾟﾚ配</t>
    <phoneticPr fontId="1"/>
  </si>
  <si>
    <t>&lt;PC･LC･LK･IL･PCL･SC洗面&gt; 工場ﾌﾟﾚ配管(現地ﾍｯﾀﾞｰ)</t>
    <phoneticPr fontId="1"/>
  </si>
  <si>
    <t>寒冷地ﾌﾟﾚ配管 現地ﾍｯﾀﾞｰUP分 PC･LC･LK･IL･PCL･SC</t>
    <phoneticPr fontId="1"/>
  </si>
  <si>
    <t>洗面1階 工場ﾌﾟﾚ配管</t>
    <phoneticPr fontId="1"/>
  </si>
  <si>
    <t>□室外機架台基礎 箇所</t>
    <phoneticPr fontId="1"/>
  </si>
  <si>
    <t>ｽﾗﾌﾞ筋UP分標準用 36U×1/4</t>
    <phoneticPr fontId="1"/>
  </si>
  <si>
    <t>ﾌﾗｯﾄﾜｲﾄﾞﾎﾟｰﾁ-G(積雪) 妻付2250-13</t>
    <phoneticPr fontId="1"/>
  </si>
  <si>
    <t>ｷｯﾁﾝ水道工事(1810)ﾚ配管 寒冷地仕様UP分1Fｷｯﾁﾝ 工場ﾌﾟ</t>
    <phoneticPr fontId="1"/>
  </si>
  <si>
    <t>&lt;東&gt;住宅ｽﾄｯｸ申請書類作成費用 棟</t>
    <phoneticPr fontId="1"/>
  </si>
  <si>
    <t>材料費</t>
    <rPh sb="0" eb="3">
      <t>ザイリョウヒ</t>
    </rPh>
    <phoneticPr fontId="1"/>
  </si>
  <si>
    <t>工事費</t>
    <rPh sb="0" eb="3">
      <t>コウジヒ</t>
    </rPh>
    <phoneticPr fontId="1"/>
  </si>
  <si>
    <t>外壁</t>
    <rPh sb="0" eb="2">
      <t>ガイヘキ</t>
    </rPh>
    <phoneticPr fontId="1"/>
  </si>
  <si>
    <t>積算_260401-211254</t>
  </si>
  <si>
    <t>2026年 3月 13日</t>
    <phoneticPr fontId="1"/>
  </si>
  <si>
    <t>田中章大様、田中羽奏様</t>
    <phoneticPr fontId="1"/>
  </si>
  <si>
    <t>2026年 6月 5日</t>
    <phoneticPr fontId="1"/>
  </si>
  <si>
    <t>１階：タイル２階：タイル</t>
    <phoneticPr fontId="1"/>
  </si>
  <si>
    <t>杭状地盤補強ライン柱型シングルベタ基礎</t>
    <phoneticPr fontId="1"/>
  </si>
  <si>
    <t>FU0523-49141-16</t>
    <phoneticPr fontId="1"/>
  </si>
  <si>
    <t>仮)個別設計)分電盤特殊位置設置(ﾙｰﾙ外浴室入口 上) 7000</t>
    <phoneticPr fontId="1"/>
  </si>
  <si>
    <t>長短つなぎ補強UP分</t>
    <phoneticPr fontId="1"/>
  </si>
  <si>
    <t>躯体断熱3a強化･HG5a･5b･5c仕様 下屋継ぎUP分 下屋U数 【2210以降】</t>
    <phoneticPr fontId="1"/>
  </si>
  <si>
    <t>ﾀｲﾙ外壁 900単位 【2510以降】</t>
    <phoneticPr fontId="1"/>
  </si>
  <si>
    <t>ﾀｲﾙ外壁 450単位 【2510以降】</t>
    <phoneticPr fontId="1"/>
  </si>
  <si>
    <t>ﾀｲﾙ外壁 出隅UP分 【2210以降】</t>
    <phoneticPr fontId="1"/>
  </si>
  <si>
    <t>PS外窓ﾄﾘﾌﾟﾙ(引違い) ﾄｰﾙ･ﾊｲ 2700(2枚) 【2510以降】</t>
    <phoneticPr fontId="1"/>
  </si>
  <si>
    <t>PS外窓ﾄﾘﾌﾟﾙ(外開) K高窓 450 【2510以降】</t>
    <phoneticPr fontId="1"/>
  </si>
  <si>
    <t>PS外窓ﾄﾘﾌﾟﾙ(外開) 高窓･高窓ﾊｲ 1800 【2510以降】</t>
    <phoneticPr fontId="1"/>
  </si>
  <si>
    <t>PS外窓ﾄﾘﾌﾟﾙ(FIX) 欄窓･O地窓 900 【2510以降】</t>
    <phoneticPr fontId="1"/>
  </si>
  <si>
    <t>PS外窓ﾄﾘﾌﾟﾙ(FIX) ﾄｰﾙ･ﾊｲ 900 【2510以降】</t>
    <phoneticPr fontId="1"/>
  </si>
  <si>
    <t>PS外窓ﾄﾘﾌﾟﾙ(FIX) ﾄｰﾙ･ﾊｲ 450 【2510以降】</t>
    <phoneticPr fontId="1"/>
  </si>
  <si>
    <t>PS外窓ﾄﾘﾌﾟﾙ(ﾎﾗｲｿﾞﾝｳｨﾝﾄﾞｳ) 2700 【2510以降】</t>
    <phoneticPr fontId="1"/>
  </si>
  <si>
    <t>PS外窓(ｻｯｼ引手) (2枚･3枚引用) 【2510以降】</t>
    <phoneticPr fontId="1"/>
  </si>
  <si>
    <t>鋼製ﾄﾞｱ(ｺﾝﾌｫｰﾄ) D10 【2510以降】</t>
    <phoneticPr fontId="1"/>
  </si>
  <si>
    <t>鋼製ﾄﾞｱ 電気錠UP分 ﾘﾓｺﾝｷｰ(YKK)(ｺﾝﾌｫｰﾄ) ｲﾝﾀｰﾎﾝ連携UP分(JEMA) ﾘﾓｺﾝ2個+ﾀｸﾞｷｰ3個</t>
    <phoneticPr fontId="1"/>
  </si>
  <si>
    <t>&lt;ﾌﾗｯﾄﾜｲﾄﾞﾎﾟｰﾁ･屋根延長ﾎﾟｰﾁ共通&gt;</t>
    <phoneticPr fontId="1"/>
  </si>
  <si>
    <t>&lt;ｽﾃｯﾌﾟ3段RC(土)杭有(柱脚有)下地&gt;</t>
    <phoneticPr fontId="1"/>
  </si>
  <si>
    <t>ｽﾃｯﾌﾟ3段RC(土)杭有(柱脚有)下地 奥行15以上 体積m3</t>
    <phoneticPr fontId="1"/>
  </si>
  <si>
    <t>&lt;ｽﾃｯﾌﾟｽﾗﾌﾞ杭有(別打設)&gt; 【2510以降】</t>
    <phoneticPr fontId="1"/>
  </si>
  <si>
    <t>ｽﾃｯﾌﾟｽﾗﾌﾞ杭有(別打設) 奥行15以上 面積㎡ 【2510以降】</t>
    <phoneticPr fontId="1"/>
  </si>
  <si>
    <t>&lt;ﾀｰﾌﾟﾘﾝｸﾞ&gt;</t>
    <phoneticPr fontId="1"/>
  </si>
  <si>
    <t>ﾀｰﾌﾟﾘﾝｸﾞ 箇所</t>
    <phoneticPr fontId="1"/>
  </si>
  <si>
    <t>SH畳(縁無) t15(芯材ｾﾞｯﾄﾛﾝ) 半畳 【2510以降】</t>
    <phoneticPr fontId="1"/>
  </si>
  <si>
    <t>現地壁ふかし工事900単位</t>
    <phoneticPr fontId="1"/>
  </si>
  <si>
    <t>現地間仕切壁作成工事900単位</t>
    <phoneticPr fontId="1"/>
  </si>
  <si>
    <t>現地遮音壁13400</t>
    <phoneticPr fontId="1"/>
  </si>
  <si>
    <t>現地補強(天井照明部)工事</t>
    <phoneticPr fontId="1"/>
  </si>
  <si>
    <t>ﾊﾟﾈﾙﾄﾞｱ(木目調)以降】 09,08,06 ｽﾀﾝﾀﾞｰﾄﾞｼﾘｰｽﾞ 【2510</t>
    <phoneticPr fontId="1"/>
  </si>
  <si>
    <t>ﾊﾟﾈﾙﾄﾞｱ(銘木調)以降】 09,08,06 ｽﾀﾝﾀﾞｰﾄﾞｼﾘｰｽﾞ 【2510</t>
    <phoneticPr fontId="1"/>
  </si>
  <si>
    <t>ﾊﾟﾈﾙﾄﾞｱ 共通 ｱｰﾑｽﾄｯﾊﾟｰ 【2510以降】</t>
    <phoneticPr fontId="1"/>
  </si>
  <si>
    <t>上吊片引戸ｶﾞﾗｽ(銘木調) 09Hi,866Hi ｽﾀﾝﾀﾞｰﾄﾞｼﾘｰ</t>
    <phoneticPr fontId="1"/>
  </si>
  <si>
    <t>ｽﾞ 【2510以降】</t>
    <phoneticPr fontId="1"/>
  </si>
  <si>
    <t>上吊片引戸ﾊﾟﾈﾙ(木目調)【2510以降】 9866 ｽﾀﾝﾀﾞｰﾄﾞｼﾘｰｽﾞ</t>
    <phoneticPr fontId="1"/>
  </si>
  <si>
    <t>設備上吊片引戸ﾊﾟﾈﾙ(銘木調)ﾘｰｽﾞ 【2510以降】 09,866,08 ｽﾀﾝﾀﾞｰﾄﾞｼ</t>
    <phoneticPr fontId="1"/>
  </si>
  <si>
    <t>設備上吊片引戸ﾊﾟﾈﾙ(共通)【2510以降】 明り窓 SV･GD･BK 共通</t>
    <phoneticPr fontId="1"/>
  </si>
  <si>
    <t>ﾕﾆｯﾄ渡り洋建具ﾄﾞｱUP分</t>
    <phoneticPr fontId="1"/>
  </si>
  <si>
    <t>&lt;和ﾃｲｽﾄｲﾝﾃﾘｱ&gt;</t>
    <phoneticPr fontId="1"/>
  </si>
  <si>
    <t>格子間仕切 900単位 【2510以降】</t>
    <phoneticPr fontId="1"/>
  </si>
  <si>
    <t>ｼﾝﾌﾟﾙﾗｯｸｼｽﾃﾑ Kﾀｲﾌﾟ K上棚 909 【2510以降】</t>
    <phoneticPr fontId="1"/>
  </si>
  <si>
    <t>ｼﾝﾌﾟﾙﾗｯｸｼｽﾃﾑ Kﾀｲﾌﾟ K上棚 1506 【2510以降】</t>
    <phoneticPr fontId="1"/>
  </si>
  <si>
    <t>ｼﾝﾌﾟﾙﾗｯｸｼｽﾃﾑ Kﾀｲﾌﾟ K上棚 1306 【2510以降】</t>
    <phoneticPr fontId="1"/>
  </si>
  <si>
    <t>ｼﾝﾌﾟﾙﾗｯｸｼｽﾃﾑ Kﾀｲﾌﾟ K上棚 1106 【2510以降】</t>
    <phoneticPr fontId="1"/>
  </si>
  <si>
    <t>ｼﾝﾌﾟﾙﾗｯｸｼｽﾃﾑ Kﾀｲﾌﾟ K上棚 906 【2510以降】</t>
    <phoneticPr fontId="1"/>
  </si>
  <si>
    <t>ｼﾝﾌﾟﾙﾗｯｸｼｽﾃﾑ Kﾀｲﾌﾟ Kｺﾝﾃﾅ 1109 【2510以降】</t>
    <phoneticPr fontId="1"/>
  </si>
  <si>
    <t>ｼﾝﾌﾟﾙﾗｯｸｼｽﾃﾑ Kﾀｲﾌﾟ 棚受けｱｰﾑUP分 【2510以降】</t>
    <phoneticPr fontId="1"/>
  </si>
  <si>
    <t>ｼﾝﾌﾟﾙﾗｯｸｼｽﾃﾑ Sﾀｲﾌﾟ【2510以降】 S可動棚･ｾﾝﾀｰﾗﾀﾞｰなし 0906</t>
    <phoneticPr fontId="1"/>
  </si>
  <si>
    <t>ｵｰﾌﾟﾝ棚ﾌﾙ【2110以降】</t>
    <phoneticPr fontId="1"/>
  </si>
  <si>
    <t>ﾊﾝｶﾞｰ棚ｼｮｰﾄ【2110以降】</t>
    <phoneticPr fontId="1"/>
  </si>
  <si>
    <t>家事棚【2110以降】</t>
    <phoneticPr fontId="1"/>
  </si>
  <si>
    <t>ｸﾛｾｯﾄﾄﾞｱ 内装色扉(木目調) ｽﾀﾝﾀﾞｰﾄﾞ 折戸固定1350 【2510以降】</t>
    <phoneticPr fontId="1"/>
  </si>
  <si>
    <t>ｸﾛｾｯﾄﾄﾞｱ 内装色扉(木目調) ｽﾀﾝﾀﾞｰﾄﾞ 折戸固定</t>
    <phoneticPr fontId="1"/>
  </si>
  <si>
    <t>900 【2510以降】</t>
    <phoneticPr fontId="1"/>
  </si>
  <si>
    <t>ｸﾛｾｯﾄﾄﾞｱ 内装色扉(銘木調) ｽﾀﾝﾀﾞｰﾄﾞ 折戸固定1125 【2510以降】</t>
    <phoneticPr fontId="1"/>
  </si>
  <si>
    <t>ｸﾛｾｯﾄﾄﾞｱ 内装色扉(銘木調) ｽﾀﾝﾀﾞｰﾄﾞ 折戸固定</t>
    <phoneticPr fontId="1"/>
  </si>
  <si>
    <t>H21 900 【2510以降】</t>
    <phoneticPr fontId="1"/>
  </si>
  <si>
    <t>ｶｳﾝﾀｰﾒﾗﾐﾝ色扉12【2510以降】</t>
    <phoneticPr fontId="1"/>
  </si>
  <si>
    <t>吊戸ﾒﾗﾐﾝ色扉08【2510以降】</t>
    <phoneticPr fontId="1"/>
  </si>
  <si>
    <t>ﾌｨﾗｰUP分【2510以降】</t>
    <phoneticPr fontId="1"/>
  </si>
  <si>
    <t>工場取付調整費【2104以降】 ｶｳﾝﾀｰ･吊戸･ｽﾘｯﾊﾟ収</t>
    <phoneticPr fontId="1"/>
  </si>
  <si>
    <t>納 04単位</t>
    <phoneticPr fontId="1"/>
  </si>
  <si>
    <t>位置違い階段A群 廻り大階段 【2210以降】</t>
    <phoneticPr fontId="1"/>
  </si>
  <si>
    <t>IN手配)縁なし半畳定) 25,300(250101折衝邸より改</t>
    <phoneticPr fontId="1"/>
  </si>
  <si>
    <t>&lt;東&gt;妻壁収納 ｵｰﾌﾟﾝB(SHOB-09)</t>
    <phoneticPr fontId="1"/>
  </si>
  <si>
    <t>&lt;ｵ-ﾙｺﾝﾌｫｰﾄACRｷｯﾁﾝ 扉ｸﾞﾙｰﾌﾟ2&gt; 【225】</t>
    <phoneticPr fontId="1"/>
  </si>
  <si>
    <t>扉G2 ACR本体 ﾌﾙﾌﾗｯﾄ対面 ｽﾘﾑ I型25 【226】</t>
    <phoneticPr fontId="1"/>
  </si>
  <si>
    <t>扉G2降】 ACR本体 食洗機 ﾃﾞｨｰﾌﾟ型(扉面材) 【2510以</t>
    <phoneticPr fontId="1"/>
  </si>
  <si>
    <t>扉G2降】 ACR収納D450 ﾄｰﾙ収納 食器棚M07 【2510以</t>
    <phoneticPr fontId="1"/>
  </si>
  <si>
    <t>扉G2降】 ACR収納D450 ｶｳﾝﾀｰ収納H850 抽斗09 【2510以</t>
    <phoneticPr fontId="1"/>
  </si>
  <si>
    <t>扉G2降】 ACR収納D450 ｶｳﾝﾀｰ収納H850 ﾌﾘｰ09 【2510以</t>
    <phoneticPr fontId="1"/>
  </si>
  <si>
    <t>扉G2 ACR収納共通 ｶｳﾝﾀｰ上吊戸棚 開き扉(吊戸)</t>
    <phoneticPr fontId="1"/>
  </si>
  <si>
    <t>27･25 ･22 【2510以降】</t>
    <phoneticPr fontId="1"/>
  </si>
  <si>
    <t>&lt;ｵｰﾙｺﾝﾌｫｰﾄACRｷｯﾁﾝ 扉ｸﾞﾙｰﾌﾟ共通&gt; 【225】</t>
    <phoneticPr fontId="1"/>
  </si>
  <si>
    <t>ACR本体降】 ｾﾚｸﾄ仕様 洗ｴｰﾙｻｲﾄﾞﾌｰﾄﾞUP分 【2510以</t>
    <phoneticPr fontId="1"/>
  </si>
  <si>
    <t>ｾﾚｸﾄ仕様 ACR本体【2510以降】 ﾍﾞｰｽｷｬﾋﾞｾﾚｸﾄ仕様 ﾀｵﾙ掛けUP分</t>
    <phoneticPr fontId="1"/>
  </si>
  <si>
    <t>ACR収納D450共通【2510以降】 ｶｳﾝﾀｰ収納 ｶｳﾝﾀｰ ﾒﾗﾐﾝ27･25･22</t>
    <phoneticPr fontId="1"/>
  </si>
  <si>
    <t>ACS･ACR 加熱機器本体【226】 IH(W60)(機能充実ﾀｲﾌﾟ)</t>
    <phoneticPr fontId="1"/>
  </si>
  <si>
    <t>ACS･ACR 主水栓 ﾀｯﾁﾚｽﾊﾝﾄﾞｼｬﾜｰ水栓 【226】</t>
    <phoneticPr fontId="1"/>
  </si>
  <si>
    <t>ﾌﾙﾌﾗｯﾄ対面ﾌﾟﾗﾝ ACR ｽﾘﾑﾀｲﾌﾟ 【226以降】</t>
    <phoneticPr fontId="1"/>
  </si>
  <si>
    <t>ｷｯﾁﾝ水道工事(1810)降】 1Fｷｯﾁﾝ 工場ﾌﾟﾚ配管 【2510以</t>
    <phoneticPr fontId="1"/>
  </si>
  <si>
    <t>(項目差し替えの為不要)</t>
    <phoneticPr fontId="1"/>
  </si>
  <si>
    <t>ｴｲｼﾞﾚｽﾌﾟﾗｳﾄﾞ P1717降】 ｽﾏｰﾄ(Sr) 手摺除く 【2510以</t>
    <phoneticPr fontId="1"/>
  </si>
  <si>
    <t>ｴｲｼﾞﾚｽﾌﾟﾗｳﾄﾞ 浴槽形状 Sﾏﾙﾁ浴槽UP分</t>
    <phoneticPr fontId="1"/>
  </si>
  <si>
    <t>ｴｲｼﾞﾚｽﾌﾟﾗｳﾄﾞ 出入口ﾄﾞｱ ﾍﾟｱｽｲﾝｸﾞﾄﾞｱUP分(Sr用)</t>
    <phoneticPr fontId="1"/>
  </si>
  <si>
    <t>本体 LC洗面月契約以降】 ｸﾞﾙｰﾌﾟ2扉 開き扉+抽斗 L07 【22年8</t>
    <phoneticPr fontId="1"/>
  </si>
  <si>
    <t>LC洗面 ﾀｵﾙ掛け 扉用 【22年8月契約以降】</t>
    <phoneticPr fontId="1"/>
  </si>
  <si>
    <t>ﾗﾝﾄﾞﾘｰ配管 洗濯機ｽﾍﾟｰｽ 基準(埋込単水栓) 工場ﾌﾟ</t>
    <phoneticPr fontId="1"/>
  </si>
  <si>
    <t>ﾚ配管 【22年8月契約以降】</t>
    <phoneticPr fontId="1"/>
  </si>
  <si>
    <t>ﾄｲﾚ(工場出荷)【2510以降】 ｼｽﾃﾑﾄｲﾚ09手洗付 1階 工場ﾌﾟﾚ配管</t>
    <phoneticPr fontId="1"/>
  </si>
  <si>
    <t>ﾄｲﾚ(工場出荷)【2510以降】 ｼｽﾃﾑﾄｲﾚ09手洗付 2階 工場ﾌﾟﾚ配管</t>
    <phoneticPr fontId="1"/>
  </si>
  <si>
    <t>ｼｽﾃﾑﾄｲﾚ 背面ｷｬﾋﾞﾈｯﾄ鏡面UP分(H)付以降】 9 【24年04月据</t>
    <phoneticPr fontId="1"/>
  </si>
  <si>
    <t>ｼｽﾃﾑﾄｲﾚ ﾛｰﾀﾝｸ降】 水抜き仕様UP分 【22年8月契約以</t>
    <phoneticPr fontId="1"/>
  </si>
  <si>
    <t>ﾄｲﾚ収納降】 ﾄｲﾚ壁付収納DX(S)(階段下用) 【2510以</t>
    <phoneticPr fontId="1"/>
  </si>
  <si>
    <t>洗浄･暖房便座降】 ｱﾌﾟﾘｺｯﾄF1A 【24年2月ｻﾌﾟﾗｲ受注以</t>
    <phoneticPr fontId="1"/>
  </si>
  <si>
    <t>洗浄･暖房便座降】 ｳｫｼｭﾚｯﾄ J2(JⅡ) 【22年8月契約以</t>
    <phoneticPr fontId="1"/>
  </si>
  <si>
    <t>1階分</t>
    <phoneticPr fontId="1"/>
  </si>
  <si>
    <t>&lt;東&gt;ｴｺｷｭｰﾄ 寒冷37F 高圧高効率</t>
    <phoneticPr fontId="1"/>
  </si>
  <si>
    <t>現地PSの為減額</t>
    <phoneticPr fontId="1"/>
  </si>
  <si>
    <t>一般分電盤 ｴｺｷｭｰﾄ用 30回路 【2510以降】</t>
    <phoneticPr fontId="1"/>
  </si>
  <si>
    <t>屋外ｽﾎﾟｯﾄﾗｲﾄ(LED) ｸﾞﾚｰ･ｽﾃﾝｶﾗｰ 【2510以降】</t>
    <phoneticPr fontId="1"/>
  </si>
  <si>
    <t>足元灯(ﾌｯﾄﾗｲﾄ) (全個数 積算) 【2510以降】</t>
    <phoneticPr fontId="1"/>
  </si>
  <si>
    <t>TV付ｲﾝﾀｰﾎﾝ Cﾀｲﾌﾟ 親機･玄関子機 【2510以降】</t>
    <phoneticPr fontId="1"/>
  </si>
  <si>
    <t>TV付ｲﾝﾀｰﾎﾝ Cﾀｲﾌﾟ 室内ﾜｲﾔﾚｽ子機 【2510以降】</t>
    <phoneticPr fontId="1"/>
  </si>
  <si>
    <t>&lt;ｴｱｰﾌｧｸﾄﾘｰ(併用設置)&gt; 【2304以降】 【2304以降】</t>
    <phoneticPr fontId="1"/>
  </si>
  <si>
    <t>ｴｱｰﾌｧｸﾄﾘｰ(併用設置) 基準(沿岸仕様) ｼｽﾃﾑ台数【2510以降】</t>
    <phoneticPr fontId="1"/>
  </si>
  <si>
    <t>ｴｱｰﾌｧｸﾄﾘｰ(併用設置) 2階 SA(床付)ｸﾞﾘﾙ 設置数【2504以降】</t>
    <phoneticPr fontId="1"/>
  </si>
  <si>
    <t>&lt;快適ｴｱﾘｰ&gt; 【2304以降】</t>
    <phoneticPr fontId="1"/>
  </si>
  <si>
    <t>快適ｴｱﾘｰ1階空調ｼｽﾃﾑ 4.0kWﾀｲﾌﾟ ｼｽﾃﾑ台数 【2510以降】</t>
    <phoneticPr fontId="1"/>
  </si>
  <si>
    <t>(削)快適ｴｱﾘｰ共通 人感ｾﾝｻｰ(天井用) 設置数</t>
    <phoneticPr fontId="1"/>
  </si>
  <si>
    <t>快適ｴｱﾘｰ共通 1階 換気(SA)ｶﾞﾗﾘ小 設置数 【2210以降】</t>
    <phoneticPr fontId="1"/>
  </si>
  <si>
    <t>快適ｴｱﾘｰ共通 1階 吸込(RG)ｸﾞﾘﾙ 設置数 【2504以降】</t>
    <phoneticPr fontId="1"/>
  </si>
  <si>
    <t>快適ｴｱﾘｰ共通 1階 吹出(GA)ｸﾞﾘﾙ 設置数 【2504以降】</t>
    <phoneticPr fontId="1"/>
  </si>
  <si>
    <t>快適ｴｱﾘｰ共通 屋内PS UP分 設置数</t>
    <phoneticPr fontId="1"/>
  </si>
  <si>
    <t>快適ｴｱﾘｰ共通 1階空調ｼｽﾃﾑ室外機ﾋｰﾀｰUP分(4.0kWﾀｲﾌﾟ) 設置数 【22年8月契約以降】</t>
    <phoneticPr fontId="1"/>
  </si>
  <si>
    <t>快適ｴｱﾘｰ共通 室外機(4.0kWﾀｲﾌﾟ)防雪ｶﾊﾞｰUP分 設置数 【22年8月契約以降】</t>
    <phoneticPr fontId="1"/>
  </si>
  <si>
    <t>快適ｴｱﾘｰ共通 1階床ｿﾌﾄﾌﾛｱUP分(工場出荷) 36U×1/4</t>
    <phoneticPr fontId="1"/>
  </si>
  <si>
    <t>(廃)&lt;快適ｴｱﾘｰ共通&gt;</t>
    <phoneticPr fontId="1"/>
  </si>
  <si>
    <t>□快適ｴｱﾘｰ 基準UP分 棟</t>
    <phoneticPr fontId="1"/>
  </si>
  <si>
    <t>□快適ｴｱﾘｰ 電源工事 式</t>
    <phoneticPr fontId="1"/>
  </si>
  <si>
    <t>杭状地盤補強調整分(50～54u) 【中束ﾌﾟﾚ仕様】 箇所</t>
    <phoneticPr fontId="1"/>
  </si>
  <si>
    <t>杭状地盤補強調整分(23～45u) 【中束ﾌﾟﾚ仕様】 箇所</t>
    <phoneticPr fontId="1"/>
  </si>
  <si>
    <t>&lt;構造等級WB/WE/C&gt; MS150 附属ﾒﾆｭｰ有1【1604以降】 妻端梁(外周)&lt;入隅部&gt; 標準</t>
    <phoneticPr fontId="1"/>
  </si>
  <si>
    <t>&lt;構造等級WB/WE/C&gt; MS150 附属ﾒﾆｭｰ有1【1604以降】 杭状地盤補強調整分 36U×1/4</t>
    <phoneticPr fontId="1"/>
  </si>
  <si>
    <t>基礎ｽﾘｰﾌﾞ(ﾍﾞﾀ基礎仕様) 基礎防水強化UP分 地上ｽﾘｰﾌﾞ 【2510以降】</t>
    <phoneticPr fontId="1"/>
  </si>
  <si>
    <t>基礎ｽﾘｰﾌﾞ(ﾍﾞﾀ基礎仕様) 基礎防水強化UP分 地上ｽﾘｰﾌﾞ(大口径さや管) 【2510以降】</t>
    <phoneticPr fontId="1"/>
  </si>
  <si>
    <t>ｱﾝｶｰ補強筋DN分 積雪 【2110以降】 入隅</t>
    <phoneticPr fontId="1"/>
  </si>
  <si>
    <t>□基礎養生費(基礎1～2列) 式</t>
    <phoneticPr fontId="1"/>
  </si>
  <si>
    <t>&lt;東&gt;住宅性能評価申請料 棟</t>
    <phoneticPr fontId="1"/>
  </si>
  <si>
    <t>&lt;東&gt;住宅性能評価申請(代願費用) 棟</t>
    <phoneticPr fontId="1"/>
  </si>
  <si>
    <t>MH-051B 妻端外壁 快適E 穴あけ対応</t>
    <phoneticPr fontId="1"/>
  </si>
  <si>
    <t>MH-001F 外壁･開口を225ｽﾞﾗｼにて組立</t>
    <phoneticPr fontId="1"/>
  </si>
  <si>
    <t>MH-013F ｽﾏｰﾄﾒｰﾀｰT･K 専用切欠外壁を展開</t>
    <phoneticPr fontId="1"/>
  </si>
  <si>
    <t>MH-014F定 ｷｯﾁﾝﾀﾞｸﾄ排気･現地調達ｷｯﾁﾝ 換気位置指13000</t>
    <phoneticPr fontId="1"/>
  </si>
  <si>
    <t>仮)個別設計)洗面上欄窓(24天)洗面台用壁補強26,000</t>
    <phoneticPr fontId="1"/>
  </si>
  <si>
    <t>□現地PS・DS工事</t>
    <phoneticPr fontId="1"/>
  </si>
  <si>
    <t>□現地DL穴あけ配線</t>
    <phoneticPr fontId="1"/>
  </si>
  <si>
    <t>□洗面額縁調整</t>
    <phoneticPr fontId="1"/>
  </si>
  <si>
    <t>□BSｱﾝﾃﾅ 現地入替追加費用 黒</t>
    <phoneticPr fontId="1"/>
  </si>
  <si>
    <t>■仮)玄関収納取付壁補強</t>
    <phoneticPr fontId="1"/>
  </si>
  <si>
    <t>積雪減額 PV非採用邸【1910以降】 坪数</t>
    <phoneticPr fontId="1"/>
  </si>
  <si>
    <t>ﾊﾞﾙｺﾆｰ外壁</t>
    <rPh sb="6" eb="8">
      <t>ガイヘキ</t>
    </rPh>
    <phoneticPr fontId="1"/>
  </si>
  <si>
    <t>積算_260401-224646</t>
  </si>
  <si>
    <t>積算_260401-224646</t>
    <phoneticPr fontId="1"/>
  </si>
  <si>
    <t>3,353,900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</si>
</sst>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_ "/>
    <numFmt numFmtId="177" formatCode="#,##0_ ;[Red]\-#,##0\ "/>
    <numFmt numFmtId="178" formatCode="#,###"/>
    <numFmt numFmtId="179" formatCode="0.00;\-0.00;"/>
    <numFmt numFmtId="180" formatCode="0.00&quot;坪&quot;"/>
    <numFmt numFmtId="185" formatCode="0_ ;[Red]\-0\ "/>
    <numFmt numFmtId="186" formatCode="0.0_ ;[Red]\-0.0\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ＭＳ Ｐ明朝"/>
      <family val="1"/>
      <charset val="128"/>
    </font>
    <font>
      <sz val="6"/>
      <name val="ＭＳ Ｐゴシック"/>
      <family val="3"/>
      <charset val="128"/>
    </font>
    <font>
      <sz val="10"/>
      <color theme="1"/>
      <name val="ＭＳ Ｐ明朝"/>
      <family val="1"/>
      <charset val="128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hair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" xfId="0" applyBorder="1">
      <alignment vertical="center"/>
    </xf>
    <xf numFmtId="4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" fontId="0" fillId="0" borderId="1" xfId="0" applyNumberFormat="1" applyBorder="1" applyProtection="1">
      <alignment vertical="center"/>
      <protection locked="0"/>
    </xf>
    <xf numFmtId="4" fontId="0" fillId="0" borderId="1" xfId="0" applyNumberFormat="1" applyBorder="1" applyProtection="1">
      <alignment vertical="center"/>
      <protection locked="0"/>
    </xf>
    <xf numFmtId="0" fontId="3" fillId="0" borderId="1" xfId="0" applyFont="1" applyBorder="1" applyProtection="1">
      <alignment vertical="center"/>
      <protection locked="0"/>
    </xf>
    <xf numFmtId="0" fontId="3" fillId="0" borderId="1" xfId="1" applyFont="1" applyBorder="1" applyProtection="1">
      <alignment vertical="center"/>
      <protection locked="0"/>
    </xf>
    <xf numFmtId="0" fontId="5" fillId="0" borderId="1" xfId="0" applyFont="1" applyBorder="1">
      <alignment vertical="center"/>
    </xf>
    <xf numFmtId="0" fontId="0" fillId="0" borderId="0" xfId="0" applyAlignment="1">
      <alignment horizontal="right" vertical="center"/>
    </xf>
    <xf numFmtId="0" fontId="2" fillId="0" borderId="1" xfId="0" applyFont="1" applyBorder="1" applyAlignment="1" applyProtection="1">
      <alignment vertical="center" shrinkToFit="1"/>
      <protection locked="0"/>
    </xf>
    <xf numFmtId="0" fontId="2" fillId="0" borderId="1" xfId="0" applyFont="1" applyBorder="1" applyProtection="1">
      <alignment vertical="center"/>
      <protection hidden="1"/>
    </xf>
    <xf numFmtId="177" fontId="0" fillId="0" borderId="0" xfId="0" applyNumberFormat="1" applyAlignment="1">
      <alignment horizontal="right" vertical="center"/>
    </xf>
    <xf numFmtId="0" fontId="2" fillId="0" borderId="6" xfId="0" applyFont="1" applyBorder="1" applyAlignment="1" applyProtection="1">
      <alignment vertical="center" shrinkToFit="1"/>
      <protection locked="0"/>
    </xf>
    <xf numFmtId="0" fontId="2" fillId="0" borderId="0" xfId="0" applyFont="1" applyAlignment="1" applyProtection="1">
      <alignment vertical="center" shrinkToFit="1"/>
      <protection hidden="1"/>
    </xf>
    <xf numFmtId="0" fontId="2" fillId="0" borderId="0" xfId="0" applyFont="1" applyAlignment="1" applyProtection="1">
      <alignment horizontal="left" vertical="center" shrinkToFit="1"/>
      <protection hidden="1"/>
    </xf>
    <xf numFmtId="0" fontId="2" fillId="0" borderId="0" xfId="0" applyFont="1" applyProtection="1">
      <alignment vertical="center"/>
      <protection hidden="1"/>
    </xf>
    <xf numFmtId="0" fontId="2" fillId="0" borderId="0" xfId="0" applyFont="1">
      <alignment vertical="center"/>
    </xf>
    <xf numFmtId="0" fontId="0" fillId="0" borderId="10" xfId="0" applyBorder="1" applyProtection="1">
      <alignment vertical="center"/>
      <protection locked="0"/>
    </xf>
    <xf numFmtId="176" fontId="7" fillId="3" borderId="7" xfId="0" applyNumberFormat="1" applyFont="1" applyFill="1" applyBorder="1">
      <alignment vertical="center"/>
    </xf>
    <xf numFmtId="177" fontId="7" fillId="3" borderId="8" xfId="0" applyNumberFormat="1" applyFont="1" applyFill="1" applyBorder="1">
      <alignment vertical="center"/>
    </xf>
    <xf numFmtId="176" fontId="7" fillId="0" borderId="7" xfId="0" applyNumberFormat="1" applyFont="1" applyBorder="1">
      <alignment vertical="center"/>
    </xf>
    <xf numFmtId="177" fontId="7" fillId="0" borderId="8" xfId="0" applyNumberFormat="1" applyFont="1" applyBorder="1">
      <alignment vertical="center"/>
    </xf>
    <xf numFmtId="176" fontId="7" fillId="0" borderId="2" xfId="0" applyNumberFormat="1" applyFont="1" applyBorder="1">
      <alignment vertical="center"/>
    </xf>
    <xf numFmtId="177" fontId="7" fillId="0" borderId="4" xfId="0" applyNumberFormat="1" applyFont="1" applyBorder="1">
      <alignment vertical="center"/>
    </xf>
    <xf numFmtId="0" fontId="6" fillId="2" borderId="7" xfId="0" applyFont="1" applyFill="1" applyBorder="1">
      <alignment vertical="center"/>
    </xf>
    <xf numFmtId="177" fontId="6" fillId="2" borderId="8" xfId="0" applyNumberFormat="1" applyFont="1" applyFill="1" applyBorder="1" applyAlignment="1">
      <alignment horizontal="right" vertical="center"/>
    </xf>
    <xf numFmtId="0" fontId="8" fillId="4" borderId="9" xfId="0" applyFont="1" applyFill="1" applyBorder="1">
      <alignment vertical="center"/>
    </xf>
    <xf numFmtId="0" fontId="8" fillId="4" borderId="11" xfId="0" applyFont="1" applyFill="1" applyBorder="1">
      <alignment vertical="center"/>
    </xf>
    <xf numFmtId="177" fontId="0" fillId="0" borderId="0" xfId="0" applyNumberFormat="1">
      <alignment vertical="center"/>
    </xf>
    <xf numFmtId="0" fontId="0" fillId="0" borderId="5" xfId="0" applyBorder="1">
      <alignment vertical="center"/>
    </xf>
    <xf numFmtId="0" fontId="0" fillId="3" borderId="5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7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0" fillId="0" borderId="8" xfId="0" applyBorder="1">
      <alignment vertical="center"/>
    </xf>
    <xf numFmtId="0" fontId="0" fillId="3" borderId="8" xfId="0" applyFill="1" applyBorder="1">
      <alignment vertical="center"/>
    </xf>
    <xf numFmtId="3" fontId="0" fillId="3" borderId="7" xfId="0" applyNumberFormat="1" applyFill="1" applyBorder="1">
      <alignment vertical="center"/>
    </xf>
    <xf numFmtId="3" fontId="0" fillId="0" borderId="7" xfId="0" applyNumberFormat="1" applyBorder="1">
      <alignment vertical="center"/>
    </xf>
    <xf numFmtId="178" fontId="0" fillId="3" borderId="5" xfId="0" applyNumberFormat="1" applyFill="1" applyBorder="1">
      <alignment vertical="center"/>
    </xf>
    <xf numFmtId="178" fontId="0" fillId="0" borderId="5" xfId="0" applyNumberFormat="1" applyBorder="1">
      <alignment vertical="center"/>
    </xf>
    <xf numFmtId="179" fontId="0" fillId="0" borderId="5" xfId="0" applyNumberFormat="1" applyBorder="1">
      <alignment vertical="center"/>
    </xf>
    <xf numFmtId="179" fontId="0" fillId="3" borderId="5" xfId="0" applyNumberFormat="1" applyFill="1" applyBorder="1">
      <alignment vertical="center"/>
    </xf>
    <xf numFmtId="178" fontId="0" fillId="3" borderId="3" xfId="0" applyNumberFormat="1" applyFill="1" applyBorder="1">
      <alignment vertical="center"/>
    </xf>
    <xf numFmtId="3" fontId="0" fillId="0" borderId="0" xfId="0" applyNumberFormat="1">
      <alignment vertical="center"/>
    </xf>
    <xf numFmtId="180" fontId="0" fillId="0" borderId="0" xfId="0" applyNumberFormat="1">
      <alignment vertical="center"/>
    </xf>
    <xf numFmtId="177" fontId="2" fillId="0" borderId="1" xfId="0" applyNumberFormat="1" applyFont="1" applyBorder="1" applyProtection="1">
      <alignment vertical="center"/>
      <protection hidden="1"/>
    </xf>
    <xf numFmtId="38" fontId="0" fillId="3" borderId="5" xfId="0" applyNumberFormat="1" applyFill="1" applyBorder="1">
      <alignment vertical="center"/>
    </xf>
    <xf numFmtId="38" fontId="0" fillId="3" borderId="8" xfId="0" applyNumberFormat="1" applyFill="1" applyBorder="1" applyAlignment="1">
      <alignment horizontal="right" vertical="center"/>
    </xf>
    <xf numFmtId="38" fontId="2" fillId="0" borderId="1" xfId="0" applyNumberFormat="1" applyFont="1" applyBorder="1" applyAlignment="1" applyProtection="1">
      <alignment vertical="center" shrinkToFit="1"/>
      <protection hidden="1"/>
    </xf>
    <xf numFmtId="0" fontId="0" fillId="0" borderId="1" xfId="0" applyBorder="1" applyAlignment="1">
      <alignment vertical="center" shrinkToFit="1"/>
    </xf>
    <xf numFmtId="0" fontId="0" fillId="0" borderId="0" xfId="0" applyNumberFormat="1" applyFont="1" applyFill="1" applyBorder="1">
      <alignment vertical="center"/>
    </xf>
    <xf numFmtId="3" fontId="0" fillId="0" borderId="0" xfId="0" applyNumberFormat="1" applyFont="1" applyFill="1" applyBorder="1">
      <alignment vertical="center"/>
    </xf>
    <xf numFmtId="4" fontId="0" fillId="0" borderId="0" xfId="0" applyNumberFormat="1" applyFont="1" applyFill="1" applyBorder="1">
      <alignment vertical="center"/>
    </xf>
    <xf numFmtId="0" fontId="0" fillId="0" borderId="0" xfId="0" applyNumberFormat="1" applyFont="1" applyFill="1" applyBorder="1" applyAlignment="1">
      <alignment horizontal="right" vertical="center"/>
    </xf>
    <xf numFmtId="3" fontId="0" fillId="0" borderId="0" xfId="0" applyNumberFormat="1" applyFont="1" applyFill="1" applyBorder="1" applyAlignment="1">
      <alignment horizontal="right" vertical="center"/>
    </xf>
    <xf numFmtId="0" fontId="0" fillId="0" borderId="0" xfId="0" applyFill="1" applyBorder="1">
      <alignment vertical="center"/>
    </xf>
    <xf numFmtId="3" fontId="0" fillId="0" borderId="0" xfId="0" applyNumberFormat="1" applyFill="1" applyBorder="1">
      <alignment vertical="center"/>
    </xf>
    <xf numFmtId="0" fontId="0" fillId="0" borderId="12" xfId="0" applyBorder="1" applyAlignment="1">
      <alignment horizontal="centerContinuous" vertical="center"/>
    </xf>
    <xf numFmtId="0" fontId="0" fillId="0" borderId="13" xfId="0" applyBorder="1" applyAlignment="1">
      <alignment horizontal="centerContinuous" vertical="center"/>
    </xf>
    <xf numFmtId="0" fontId="0" fillId="0" borderId="14" xfId="0" applyBorder="1" applyAlignment="1">
      <alignment horizontal="centerContinuous" vertical="center"/>
    </xf>
    <xf numFmtId="0" fontId="2" fillId="0" borderId="12" xfId="0" applyFont="1" applyFill="1" applyBorder="1" applyAlignment="1" applyProtection="1">
      <alignment horizontal="centerContinuous" vertical="center" shrinkToFit="1"/>
      <protection hidden="1"/>
    </xf>
    <xf numFmtId="186" fontId="0" fillId="0" borderId="1" xfId="0" applyNumberFormat="1" applyBorder="1" applyAlignment="1">
      <alignment vertical="center" shrinkToFit="1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 shrinkToFit="1"/>
      <protection hidden="1"/>
    </xf>
    <xf numFmtId="185" fontId="0" fillId="0" borderId="1" xfId="0" applyNumberFormat="1" applyBorder="1" applyAlignment="1">
      <alignment vertical="center" shrinkToFit="1"/>
    </xf>
    <xf numFmtId="185" fontId="0" fillId="0" borderId="1" xfId="0" applyNumberFormat="1" applyBorder="1">
      <alignment vertical="center"/>
    </xf>
  </cellXfs>
  <cellStyles count="2">
    <cellStyle name="標準" xfId="0" builtinId="0"/>
    <cellStyle name="標準_営業邸損(営業用)20160214" xfId="1" xr:uid="{B1E566D3-5494-423E-A568-45F8B885D3AF}"/>
  </cellStyles>
  <dxfs count="68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ill>
        <patternFill>
          <fgColor indexed="64"/>
          <bgColor theme="5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142875</xdr:rowOff>
        </xdr:from>
        <xdr:to>
          <xdr:col>3</xdr:col>
          <xdr:colOff>0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積算書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PDFデータ取込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契約時邸損書込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引継時邸損書込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比較・外壁差額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Ctrl+Shift+K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見積書作成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2f-watanabe\shareddocs\Documents%20and%20Settings\All%20Users\Documents\&#31649;&#29702;&#36039;&#26009;\&#37048;&#21029;&#31649;&#29702;&#21488;&#24115;\&#31649;&#29702;&#21488;&#24115;\&#36039;&#37329;&#38306;&#20418;&#36039;&#26009;(Ver.2004.01)\&#24341;&#32153;&#29992;&#36039;&#37329;&#35336;&#30011;&#26360;(Ver.2004.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引継用資金計画書(Ver.2004.01)"/>
      <sheetName val="#REF"/>
      <sheetName val="Sheet1"/>
      <sheetName val="公定歩合"/>
      <sheetName val="0203　ｂｊ　10%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70A8F8D-C468-4111-995B-A9C72F86533E}" name="テーブル40" displayName="テーブル40" ref="A1:C19" totalsRowShown="0" headerRowDxfId="36">
  <autoFilter ref="A1:C19" xr:uid="{670A8F8D-C468-4111-995B-A9C72F86533E}"/>
  <tableColumns count="3">
    <tableColumn id="1" xr3:uid="{BB79A362-EA92-4B7E-B65B-57A47D855A2F}" name="項目"/>
    <tableColumn id="2" xr3:uid="{A63070CA-25A9-42FC-B203-50F742A284E6}" name="項目2" dataDxfId="14"/>
    <tableColumn id="3" xr3:uid="{2C6F1FBB-ECF8-4A3D-AF52-AB48024EE0C5}" name="項目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6598728-E0E7-4BCC-8F12-C5F4196CC2AA}" name="テーブル41" displayName="テーブル41" ref="E1:H13" totalsRowShown="0" headerRowDxfId="34" dataDxfId="35">
  <autoFilter ref="E1:H13" xr:uid="{36598728-E0E7-4BCC-8F12-C5F4196CC2AA}"/>
  <tableColumns count="4">
    <tableColumn id="1" xr3:uid="{838D7024-5B4D-4324-A96D-B38833378A8A}" name="項目" dataDxfId="21"/>
    <tableColumn id="2" xr3:uid="{53B0B3F3-BE68-412E-A032-34484666E863}" name="材料費（円）" dataDxfId="20"/>
    <tableColumn id="3" xr3:uid="{7F390515-E672-4A53-ACEB-6D2DF1F333E5}" name="工事費（円）" dataDxfId="19"/>
    <tableColumn id="4" xr3:uid="{EEEF16B2-BA2C-451A-AE35-780E75D962D2}" name="合計（円）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6BFF0CD6-84A7-4499-8CA0-D3A8BA95A6A7}" name="テーブル42" displayName="テーブル42" ref="J1:W634" totalsRowShown="0" dataDxfId="22">
  <autoFilter ref="J1:W634" xr:uid="{6BFF0CD6-84A7-4499-8CA0-D3A8BA95A6A7}"/>
  <tableColumns count="14">
    <tableColumn id="1" xr3:uid="{4CD968C7-6095-4EED-850D-6FC548A34B81}" name="大項目" dataDxfId="33"/>
    <tableColumn id="2" xr3:uid="{80A883F8-A846-4252-B726-8D686C32F0D5}" name="中項目" dataDxfId="32"/>
    <tableColumn id="3" xr3:uid="{A22ED977-B151-4631-93A3-5755484A6350}" name="小項目" dataDxfId="31"/>
    <tableColumn id="4" xr3:uid="{E4D3C952-A320-4646-A946-A8F25E563EA0}" name="合計単価" dataDxfId="30"/>
    <tableColumn id="5" xr3:uid="{DAA3E7E2-F4BE-4CAC-BAE7-8434CADC6E85}" name="数量" dataDxfId="17"/>
    <tableColumn id="6" xr3:uid="{AB76F6C0-8BCA-4DC2-8DAF-61F1517EF51F}" name="金額（円）" dataDxfId="15"/>
    <tableColumn id="7" xr3:uid="{55CCA5D0-F1B9-442C-A88E-58CA40F70830}" name="材料単価" dataDxfId="16"/>
    <tableColumn id="8" xr3:uid="{E4B56998-EBF5-4C85-A6D6-E491611B95E8}" name="材料金額" dataDxfId="29"/>
    <tableColumn id="9" xr3:uid="{B07BA7DD-6551-4D1A-AB6E-E8D4B806E5EC}" name="工事単価" dataDxfId="28"/>
    <tableColumn id="10" xr3:uid="{B5D1A14A-9AE1-47A2-9D28-767467D7EF13}" name="工事金額" dataDxfId="27"/>
    <tableColumn id="11" xr3:uid="{2FF0216A-9A3C-423C-8A23-DC37A4CB51F6}" name="うち上代材料単価" dataDxfId="26"/>
    <tableColumn id="12" xr3:uid="{6817B63C-DC9D-4784-A64A-E17E8F4A170A}" name="うち上代材料金額" dataDxfId="25"/>
    <tableColumn id="13" xr3:uid="{9D3DAD4A-08EC-4EBB-9D06-CBD9A39B74DF}" name="うち上代工事単価" dataDxfId="24"/>
    <tableColumn id="14" xr3:uid="{1D3DB279-901E-4E14-9F27-B1DD81E45E09}" name="うち上代工事金額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1F05BBF1-8BEB-461F-B36D-BBF0A22748FF}" name="テーブル43" displayName="テーブル43" ref="A21:B40" totalsRowShown="0">
  <autoFilter ref="A21:B40" xr:uid="{1F05BBF1-8BEB-461F-B36D-BBF0A22748FF}"/>
  <tableColumns count="2">
    <tableColumn id="1" xr3:uid="{571B9384-6751-4A14-A8E0-9C1F77C0DCB9}" name="列1" dataDxfId="13"/>
    <tableColumn id="2" xr3:uid="{5515C537-B62C-4245-A842-46730D13EF3F}" name="列2" dataDxfId="12">
      <calculatedColumnFormula>IF(VLOOKUP(A22,E:H,4,FALSE)&gt;0, "有", "無")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2ACC666-F34B-4829-B58D-F2D90736487B}" name="テーブル44" displayName="テーブル44" ref="E21:H80" totalsRowShown="0" headerRowDxfId="8" dataDxfId="9">
  <autoFilter ref="E21:H80" xr:uid="{D2ACC666-F34B-4829-B58D-F2D90736487B}"/>
  <tableColumns count="4">
    <tableColumn id="1" xr3:uid="{D4C40434-56C9-46F3-B4A5-7FFB65C802A2}" name="列1" dataDxfId="7"/>
    <tableColumn id="2" xr3:uid="{31FF74D4-344D-4C4F-A42C-F521E6A1D7F2}" name="列2" dataDxfId="6"/>
    <tableColumn id="3" xr3:uid="{8738A0C8-5357-4038-9864-FD7C661D54D0}" name="列3" dataDxfId="5"/>
    <tableColumn id="4" xr3:uid="{F74D5972-68DE-4627-8D0B-49775B61D40D}" name="列4" dataDxf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1101A34-E150-456F-A1A7-E7D2A7DA8CB9}" name="Table_Summary_224650" displayName="Table_Summary_224650" ref="Y1:AB11" totalsRowShown="0" headerRowDxfId="0">
  <autoFilter ref="Y1:AB11" xr:uid="{B1101A34-E150-456F-A1A7-E7D2A7DA8CB9}"/>
  <tableColumns count="4">
    <tableColumn id="1" xr3:uid="{52E23F91-1A8F-4ACC-B26F-1E587F8E8B5D}" name="外壁差額"/>
    <tableColumn id="2" xr3:uid="{2A566281-1018-41B9-BDBD-FEF19A38EF96}" name="外壁" dataDxfId="3"/>
    <tableColumn id="3" xr3:uid="{EDB5E5A4-634A-41FC-A4F8-995C5FF7D038}" name="調整費含む合計" dataDxfId="2"/>
    <tableColumn id="4" xr3:uid="{2C7886B7-DEBA-46F9-BD2F-E3B5A1A6E8A1}" name="3,353,900" dataDxfId="1">
      <calculatedColumnFormula>$AA2-AB$1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6913DC7-8EB5-4ABA-8B94-B5814CEFBF74}" name="テーブル34" displayName="テーブル34" ref="A1:C19" totalsRowShown="0" headerRowDxfId="67">
  <autoFilter ref="A1:C19" xr:uid="{C6913DC7-8EB5-4ABA-8B94-B5814CEFBF74}"/>
  <tableColumns count="3">
    <tableColumn id="1" xr3:uid="{867EC5F9-3690-463A-B146-74E552B8A909}" name="項目"/>
    <tableColumn id="2" xr3:uid="{FD304035-135C-4D31-9201-F4E01625AC95}" name="項目2" dataDxfId="45"/>
    <tableColumn id="3" xr3:uid="{BCE981C9-7FE9-4F57-89FB-AFAF8DD27A93}" name="項目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68CC721-2820-4EEB-B2A9-87FD637681F8}" name="テーブル35" displayName="テーブル35" ref="E1:H13" totalsRowShown="0" headerRowDxfId="65" dataDxfId="66">
  <autoFilter ref="E1:H13" xr:uid="{B68CC721-2820-4EEB-B2A9-87FD637681F8}"/>
  <tableColumns count="4">
    <tableColumn id="1" xr3:uid="{FC656B05-ADD7-4834-A9E3-6E21280D5778}" name="項目" dataDxfId="52"/>
    <tableColumn id="2" xr3:uid="{6787E089-F252-4C5A-A7F6-A1426953049B}" name="材料費（円）" dataDxfId="51"/>
    <tableColumn id="3" xr3:uid="{E8863831-30BF-4FC1-8670-11893DEB157E}" name="工事費（円）" dataDxfId="50"/>
    <tableColumn id="4" xr3:uid="{69B58A49-8A2A-4603-BAA7-CB6569DB4F89}" name="合計（円）" dataDxfId="4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1D2560DD-8F7C-4BB2-AA4F-117BE57672CB}" name="テーブル36" displayName="テーブル36" ref="J1:W634" totalsRowShown="0" dataDxfId="53">
  <autoFilter ref="J1:W634" xr:uid="{1D2560DD-8F7C-4BB2-AA4F-117BE57672CB}"/>
  <tableColumns count="14">
    <tableColumn id="1" xr3:uid="{AC54653B-F65B-4D5C-8AD6-53FED2CA9824}" name="大項目" dataDxfId="64"/>
    <tableColumn id="2" xr3:uid="{5287CBBF-6414-498A-8695-6AF3C41731FF}" name="中項目" dataDxfId="63"/>
    <tableColumn id="3" xr3:uid="{464EEA2F-1E7E-44D9-92CE-1B62AAF68D03}" name="小項目" dataDxfId="62"/>
    <tableColumn id="4" xr3:uid="{83D29C43-3066-48FC-BCC0-26558C714C6D}" name="合計単価" dataDxfId="61"/>
    <tableColumn id="5" xr3:uid="{B62CD301-440E-4FE8-AA74-73D21BE91A99}" name="数量" dataDxfId="48"/>
    <tableColumn id="6" xr3:uid="{39218BA8-1DB2-451A-9ECF-26D0B34D28D4}" name="金額（円）" dataDxfId="46"/>
    <tableColumn id="7" xr3:uid="{3909B321-CA6C-4F8D-8397-9941C648A7CB}" name="材料単価" dataDxfId="47"/>
    <tableColumn id="8" xr3:uid="{C0B7E0C4-F402-4911-9899-7D1BA7C48BB7}" name="材料金額" dataDxfId="60"/>
    <tableColumn id="9" xr3:uid="{DDA2F84E-F436-48D7-B5BF-29EBB86E3837}" name="工事単価" dataDxfId="59"/>
    <tableColumn id="10" xr3:uid="{2ADF6486-3C41-461A-B4F8-26BC5E300368}" name="工事金額" dataDxfId="58"/>
    <tableColumn id="11" xr3:uid="{E9067AC5-6632-4134-B33D-06C603424D2B}" name="うち上代材料単価" dataDxfId="57"/>
    <tableColumn id="12" xr3:uid="{5671A63C-00DC-4004-A98B-A82540A95F6C}" name="うち上代材料金額" dataDxfId="56"/>
    <tableColumn id="13" xr3:uid="{2835B419-5C0B-4A50-9CAF-5840FC4507F4}" name="うち上代工事単価" dataDxfId="55"/>
    <tableColumn id="14" xr3:uid="{DDD47355-DEF0-4FDD-AD51-4190228B4EF7}" name="うち上代工事金額" dataDxfId="5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9CC24F0-1E02-402C-AC0B-F05DBBAEC77E}" name="テーブル37" displayName="テーブル37" ref="A21:B40" totalsRowShown="0">
  <autoFilter ref="A21:B40" xr:uid="{89CC24F0-1E02-402C-AC0B-F05DBBAEC77E}"/>
  <tableColumns count="2">
    <tableColumn id="1" xr3:uid="{EADA06D0-C4C5-46D5-B094-EDBE476B0511}" name="列1" dataDxfId="44"/>
    <tableColumn id="2" xr3:uid="{565F8EC9-CF31-4024-8021-1299DE6273D6}" name="列2" dataDxfId="43">
      <calculatedColumnFormula>IF(VLOOKUP(A22,E:H,4,FALSE)&gt;0, "有", "無")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A03E4EC-B0A8-462B-91F4-4027522220FF}" name="テーブル38" displayName="テーブル38" ref="E21:H80" totalsRowShown="0" headerRowDxfId="41" dataDxfId="42">
  <autoFilter ref="E21:H80" xr:uid="{6A03E4EC-B0A8-462B-91F4-4027522220FF}"/>
  <tableColumns count="4">
    <tableColumn id="1" xr3:uid="{D17146D9-D163-4A4B-B13F-B61C3DFDEF1C}" name="列1" dataDxfId="40"/>
    <tableColumn id="2" xr3:uid="{4983095E-8265-4A40-B1DC-96607E91645A}" name="列2" dataDxfId="39"/>
    <tableColumn id="3" xr3:uid="{9CEF7726-8D60-43D5-8896-3A9847CB67B3}" name="列3" dataDxfId="38"/>
    <tableColumn id="4" xr3:uid="{D6293336-1441-45AF-BD84-2518CBC74139}" name="列4" dataDxfId="3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2:E14"/>
  <sheetViews>
    <sheetView workbookViewId="0">
      <selection activeCell="T1" sqref="T1"/>
    </sheetView>
  </sheetViews>
  <sheetFormatPr defaultColWidth="9.125" defaultRowHeight="18.75" x14ac:dyDescent="0.4"/>
  <cols>
    <col min="1" max="1" width="3.125" customWidth="1"/>
    <col min="4" max="4" width="3.125" customWidth="1"/>
  </cols>
  <sheetData>
    <row r="2" spans="5:5" x14ac:dyDescent="0.4">
      <c r="E2" t="s">
        <v>170</v>
      </c>
    </row>
    <row r="3" spans="5:5" x14ac:dyDescent="0.4">
      <c r="E3" t="s">
        <v>168</v>
      </c>
    </row>
    <row r="5" spans="5:5" x14ac:dyDescent="0.4">
      <c r="E5" t="s">
        <v>224</v>
      </c>
    </row>
    <row r="6" spans="5:5" x14ac:dyDescent="0.4">
      <c r="E6" t="s">
        <v>169</v>
      </c>
    </row>
    <row r="7" spans="5:5" x14ac:dyDescent="0.4">
      <c r="E7" t="s">
        <v>228</v>
      </c>
    </row>
    <row r="8" spans="5:5" x14ac:dyDescent="0.4">
      <c r="E8" t="s">
        <v>229</v>
      </c>
    </row>
    <row r="13" spans="5:5" x14ac:dyDescent="0.4">
      <c r="E13" t="s">
        <v>156</v>
      </c>
    </row>
    <row r="14" spans="5:5" x14ac:dyDescent="0.4">
      <c r="E14" t="s">
        <v>225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DFファイル読込">
                <anchor moveWithCells="1">
                  <from>
                    <xdr:col>1</xdr:col>
                    <xdr:colOff>0</xdr:colOff>
                    <xdr:row>0</xdr:row>
                    <xdr:rowOff>142875</xdr:rowOff>
                  </from>
                  <to>
                    <xdr:col>3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邸損書込_契約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邸損書込_引継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比較_外壁差額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見積書作成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E262-4DF7-4539-96AA-9DDD17F43605}">
  <sheetPr codeName="Sheet49">
    <tabColor theme="7"/>
    <pageSetUpPr fitToPage="1"/>
  </sheetPr>
  <dimension ref="A1:AE110"/>
  <sheetViews>
    <sheetView tabSelected="1" workbookViewId="0">
      <selection activeCell="B32" sqref="B32"/>
    </sheetView>
  </sheetViews>
  <sheetFormatPr defaultRowHeight="18.75" x14ac:dyDescent="0.4"/>
  <cols>
    <col min="1" max="1" width="18.5" bestFit="1" customWidth="1"/>
    <col min="2" max="3" width="30.625" customWidth="1"/>
    <col min="4" max="6" width="11.75" customWidth="1"/>
    <col min="7" max="7" width="3" customWidth="1"/>
    <col min="8" max="8" width="37.625" bestFit="1" customWidth="1"/>
    <col min="9" max="9" width="12" bestFit="1" customWidth="1"/>
    <col min="10" max="10" width="2.5" customWidth="1"/>
    <col min="11" max="11" width="37.625" customWidth="1"/>
    <col min="12" max="12" width="11" style="30" bestFit="1" customWidth="1"/>
    <col min="13" max="13" width="2.625" customWidth="1"/>
    <col min="14" max="14" width="27" customWidth="1"/>
    <col min="15" max="19" width="9.875" customWidth="1"/>
    <col min="20" max="20" width="11.375" bestFit="1" customWidth="1"/>
    <col min="21" max="31" width="4.875" customWidth="1"/>
  </cols>
  <sheetData>
    <row r="1" spans="1:31" x14ac:dyDescent="0.4">
      <c r="A1" s="26"/>
      <c r="B1" s="28" t="s">
        <v>998</v>
      </c>
      <c r="C1" s="28" t="s">
        <v>102</v>
      </c>
      <c r="D1" s="28" t="s">
        <v>748</v>
      </c>
      <c r="E1" s="28" t="s">
        <v>748</v>
      </c>
      <c r="F1" s="29" t="s">
        <v>103</v>
      </c>
      <c r="G1" s="19"/>
      <c r="H1" s="26" t="s">
        <v>154</v>
      </c>
      <c r="I1" s="27">
        <f ca="1">SUM(I2:I63)</f>
        <v>35855451</v>
      </c>
      <c r="K1" t="str" cm="1">
        <f t="array" aca="1" ref="K1:L32" ca="1">_xlfn._xlws.FILTER(H:I, I:I&lt;&gt;0, "No data")</f>
        <v>差額合計</v>
      </c>
      <c r="L1" s="30">
        <f ca="1"/>
        <v>35855451</v>
      </c>
      <c r="N1" s="68" t="s">
        <v>787</v>
      </c>
      <c r="O1" s="69" t="s">
        <v>780</v>
      </c>
      <c r="P1" s="69" t="s">
        <v>104</v>
      </c>
      <c r="Q1" s="69" t="s">
        <v>105</v>
      </c>
      <c r="R1" s="69" t="s">
        <v>106</v>
      </c>
      <c r="S1" s="69" t="s">
        <v>788</v>
      </c>
      <c r="U1" s="66" t="s">
        <v>848</v>
      </c>
      <c r="V1" s="64"/>
      <c r="W1" s="64"/>
      <c r="X1" s="64"/>
      <c r="Y1" s="65"/>
      <c r="Z1" s="63" t="s">
        <v>132</v>
      </c>
      <c r="AA1" s="64"/>
      <c r="AB1" s="64"/>
      <c r="AC1" s="64"/>
      <c r="AD1" s="64"/>
      <c r="AE1" s="65"/>
    </row>
    <row r="2" spans="1:31" x14ac:dyDescent="0.4">
      <c r="A2" s="36" t="s">
        <v>166</v>
      </c>
      <c r="B2" s="44" t="str">
        <f ca="1">INDIRECT("'"&amp;$B$1&amp;"'!"&amp;ADDRESS(2,2))</f>
        <v>FU0523-49141-16</v>
      </c>
      <c r="C2" s="44">
        <f ca="1">INDIRECT("'"&amp;$C$1&amp;"'!"&amp;ADDRESS(2,2))</f>
        <v>0</v>
      </c>
      <c r="D2" s="52">
        <f ca="1">IF(C1="クリア",VLOOKUP(D1,N2:S11,6,FALSE),"")</f>
        <v>3353900</v>
      </c>
      <c r="E2" s="52">
        <f ca="1">IF(C1="クリア",VLOOKUP(E1,N2:S11,6,FALSE),"")</f>
        <v>3353900</v>
      </c>
      <c r="F2" s="53">
        <f ca="1">IF(C1="クリア",(E2-D2),"")</f>
        <v>0</v>
      </c>
      <c r="G2" s="13"/>
      <c r="H2" s="20" t="str">
        <f ca="1">INDIRECT("'"&amp;$B$1&amp;"'!"&amp;ADDRESS(22,5))</f>
        <v>構造体 小計</v>
      </c>
      <c r="I2" s="21">
        <f ca="1">INDIRECT("'"&amp;$B$1&amp;"'!"&amp;ADDRESS(22,8))-INDIRECT("'"&amp;$C$1&amp;"'!"&amp;ADDRESS(22,8))</f>
        <v>8522320</v>
      </c>
      <c r="K2" t="str">
        <f ca="1"/>
        <v>構造体 小計</v>
      </c>
      <c r="L2" s="30">
        <f ca="1"/>
        <v>8522320</v>
      </c>
      <c r="N2" s="11" t="s">
        <v>754</v>
      </c>
      <c r="O2" s="54">
        <f ca="1">(U$13*U2+V$13*V2+W$13*W2)*1000</f>
        <v>2747000</v>
      </c>
      <c r="P2" s="54">
        <f ca="1">(U$14*Z2+V$14*AA2)*1000</f>
        <v>0</v>
      </c>
      <c r="Q2" s="54">
        <f ca="1">($U$14*AC2+$V$14*AD2+$W$14*AE2)*1000</f>
        <v>0</v>
      </c>
      <c r="R2" s="54">
        <f ca="1">B$26*R$14*1000</f>
        <v>-765000</v>
      </c>
      <c r="S2" s="51">
        <f ca="1">SUM(O2:R2)</f>
        <v>1982000</v>
      </c>
      <c r="U2" s="67">
        <v>40.1</v>
      </c>
      <c r="V2" s="67">
        <v>24.1</v>
      </c>
      <c r="W2" s="67">
        <v>12</v>
      </c>
      <c r="X2" s="67"/>
      <c r="Y2" s="67"/>
      <c r="Z2" s="67">
        <v>35</v>
      </c>
      <c r="AA2" s="67">
        <v>18</v>
      </c>
      <c r="AB2" s="67">
        <v>0</v>
      </c>
      <c r="AC2" s="67">
        <v>0.6</v>
      </c>
      <c r="AD2" s="67">
        <v>0.3</v>
      </c>
      <c r="AE2" s="67">
        <v>2</v>
      </c>
    </row>
    <row r="3" spans="1:31" x14ac:dyDescent="0.4">
      <c r="A3" s="37" t="s">
        <v>159</v>
      </c>
      <c r="B3" s="45" t="str">
        <f ca="1">INDIRECT("'"&amp;$B$1&amp;"'!"&amp;ADDRESS(3,2))</f>
        <v>ﾊﾟﾙﾌｪN</v>
      </c>
      <c r="C3" s="45">
        <f ca="1">INDIRECT("'"&amp;$C$1&amp;"'!"&amp;ADDRESS(3,2))</f>
        <v>0</v>
      </c>
      <c r="D3" s="31"/>
      <c r="E3" s="31"/>
      <c r="F3" s="38"/>
      <c r="G3" s="10"/>
      <c r="H3" s="22" t="str">
        <f ca="1">INDIRECT("'"&amp;$B$1&amp;"'!"&amp;ADDRESS(23,5))</f>
        <v>屋根/庇 小計</v>
      </c>
      <c r="I3" s="23">
        <f ca="1">INDIRECT("'"&amp;$B$1&amp;"'!"&amp;ADDRESS(23,8))-INDIRECT("'"&amp;$C$1&amp;"'!"&amp;ADDRESS(23,8))</f>
        <v>1724100</v>
      </c>
      <c r="K3" t="str">
        <f ca="1"/>
        <v>屋根/庇 小計</v>
      </c>
      <c r="L3" s="30">
        <f ca="1"/>
        <v>1724100</v>
      </c>
      <c r="N3" s="11" t="s">
        <v>755</v>
      </c>
      <c r="O3" s="54">
        <f t="shared" ref="O3:O10" ca="1" si="0">(U$13*U3+V$13*V3+W$13*W3)*1000</f>
        <v>2757600.0000000005</v>
      </c>
      <c r="P3" s="54">
        <f ca="1">(U$14*Z2+V$14*AA2)*1000</f>
        <v>0</v>
      </c>
      <c r="Q3" s="54">
        <f ca="1">($U$14*AC3+$V$14*AD3+$W$14*AE3)*1000</f>
        <v>0</v>
      </c>
      <c r="R3" s="54">
        <f ca="1">B$26*R$14*1000</f>
        <v>-765000</v>
      </c>
      <c r="S3" s="51">
        <f t="shared" ref="S3:S11" ca="1" si="1">SUM(O3:R3)</f>
        <v>1992600.0000000005</v>
      </c>
      <c r="U3" s="67">
        <v>40.6</v>
      </c>
      <c r="V3" s="67">
        <v>24.4</v>
      </c>
      <c r="W3" s="67">
        <v>10</v>
      </c>
      <c r="X3" s="67"/>
      <c r="Y3" s="67"/>
      <c r="Z3" s="67">
        <v>35</v>
      </c>
      <c r="AA3" s="67">
        <v>18</v>
      </c>
      <c r="AB3" s="67">
        <v>0</v>
      </c>
      <c r="AC3" s="67">
        <v>0.6</v>
      </c>
      <c r="AD3" s="67">
        <v>0.3</v>
      </c>
      <c r="AE3" s="67">
        <v>2</v>
      </c>
    </row>
    <row r="4" spans="1:31" x14ac:dyDescent="0.4">
      <c r="A4" s="36" t="s">
        <v>160</v>
      </c>
      <c r="B4" s="44" t="str">
        <f ca="1">INDIRECT("'"&amp;$B$1&amp;"'!"&amp;ADDRESS(4,2))</f>
        <v>150cm</v>
      </c>
      <c r="C4" s="44">
        <f ca="1">INDIRECT("'"&amp;$C$1&amp;"'!"&amp;ADDRESS(4,2))</f>
        <v>0</v>
      </c>
      <c r="D4" s="32" t="s">
        <v>157</v>
      </c>
      <c r="E4" s="32"/>
      <c r="F4" s="39"/>
      <c r="G4" s="10"/>
      <c r="H4" s="20" t="str">
        <f ca="1">INDIRECT("'"&amp;$B$1&amp;"'!"&amp;ADDRESS(24,5))</f>
        <v>屋根工事･屋根仕上げ 小計</v>
      </c>
      <c r="I4" s="21">
        <f ca="1">INDIRECT("'"&amp;$B$1&amp;"'!"&amp;ADDRESS(24,8))-INDIRECT("'"&amp;$C$1&amp;"'!"&amp;ADDRESS(24,8))</f>
        <v>0</v>
      </c>
      <c r="K4" t="str">
        <f ca="1"/>
        <v>外壁 小計</v>
      </c>
      <c r="L4" s="30">
        <f ca="1"/>
        <v>3668900</v>
      </c>
      <c r="N4" s="11" t="s">
        <v>753</v>
      </c>
      <c r="O4" s="54">
        <f t="shared" ca="1" si="0"/>
        <v>2765200</v>
      </c>
      <c r="P4" s="54">
        <f ca="1">(U$14*Z2+V$14*AA2)*1000</f>
        <v>0</v>
      </c>
      <c r="Q4" s="54">
        <f ca="1">($U$14*AC4+$V$14*AD4+$W$14*AE4)*1000</f>
        <v>0</v>
      </c>
      <c r="R4" s="54">
        <f ca="1">B$26*R$14*1000</f>
        <v>-765000</v>
      </c>
      <c r="S4" s="51">
        <f t="shared" ca="1" si="1"/>
        <v>2000200</v>
      </c>
      <c r="U4" s="67">
        <v>41</v>
      </c>
      <c r="V4" s="67">
        <v>23.1</v>
      </c>
      <c r="W4" s="67">
        <v>10</v>
      </c>
      <c r="X4" s="67"/>
      <c r="Y4" s="67"/>
      <c r="Z4" s="67">
        <v>35</v>
      </c>
      <c r="AA4" s="67">
        <v>18</v>
      </c>
      <c r="AB4" s="67">
        <v>0</v>
      </c>
      <c r="AC4" s="67">
        <v>0.6</v>
      </c>
      <c r="AD4" s="67">
        <v>0.3</v>
      </c>
      <c r="AE4" s="67">
        <v>2</v>
      </c>
    </row>
    <row r="5" spans="1:31" x14ac:dyDescent="0.4">
      <c r="A5" s="37" t="s">
        <v>161</v>
      </c>
      <c r="B5" s="45" t="str">
        <f ca="1">INDIRECT("'"&amp;$B$1&amp;"'!"&amp;ADDRESS(5,2))</f>
        <v>ﾏﾙﾁｾﾚｸﾄ2510</v>
      </c>
      <c r="C5" s="45">
        <f ca="1">INDIRECT("'"&amp;$C$1&amp;"'!"&amp;ADDRESS(5,2))</f>
        <v>0</v>
      </c>
      <c r="D5" s="31" t="s">
        <v>158</v>
      </c>
      <c r="E5" s="31"/>
      <c r="F5" s="38"/>
      <c r="G5" s="10"/>
      <c r="H5" s="22" t="str">
        <f ca="1">INDIRECT("'"&amp;$B$1&amp;"'!"&amp;ADDRESS(25,5))</f>
        <v>外壁 小計</v>
      </c>
      <c r="I5" s="23">
        <f ca="1">INDIRECT("'"&amp;$B$1&amp;"'!"&amp;ADDRESS(25,8))-INDIRECT("'"&amp;$C$1&amp;"'!"&amp;ADDRESS(25,8))</f>
        <v>3668900</v>
      </c>
      <c r="K5" t="str">
        <f ca="1"/>
        <v>引き違い窓･小窓･特殊窓･PS外窓 小計</v>
      </c>
      <c r="L5" s="30">
        <f ca="1"/>
        <v>1192400</v>
      </c>
      <c r="N5" s="11" t="s">
        <v>128</v>
      </c>
      <c r="O5" s="54">
        <f t="shared" ca="1" si="0"/>
        <v>2796600</v>
      </c>
      <c r="P5" s="54">
        <f ca="1">(U$14*Z2+V$14*AA2)*1000</f>
        <v>0</v>
      </c>
      <c r="Q5" s="54">
        <f ca="1">($U$14*AC5+$V$14*AD5+$W$14*AE5)*1000</f>
        <v>0</v>
      </c>
      <c r="R5" s="54">
        <f ca="1">B$26*R$14*1000</f>
        <v>-765000</v>
      </c>
      <c r="S5" s="51">
        <f t="shared" ca="1" si="1"/>
        <v>2031600</v>
      </c>
      <c r="U5" s="67">
        <v>41.5</v>
      </c>
      <c r="V5" s="67">
        <v>23.3</v>
      </c>
      <c r="W5" s="67">
        <v>10</v>
      </c>
      <c r="X5" s="67"/>
      <c r="Y5" s="67"/>
      <c r="Z5" s="67">
        <v>35</v>
      </c>
      <c r="AA5" s="67">
        <v>18</v>
      </c>
      <c r="AB5" s="67">
        <v>0</v>
      </c>
      <c r="AC5" s="67">
        <v>0.6</v>
      </c>
      <c r="AD5" s="67">
        <v>0.3</v>
      </c>
      <c r="AE5" s="67">
        <v>2</v>
      </c>
    </row>
    <row r="6" spans="1:31" x14ac:dyDescent="0.4">
      <c r="A6" s="36" t="s">
        <v>162</v>
      </c>
      <c r="B6" s="44" t="str">
        <f ca="1">INDIRECT("'"&amp;$B$1&amp;"'!"&amp;ADDRESS(6,2))</f>
        <v>2026年 3月 13日</v>
      </c>
      <c r="C6" s="44">
        <f ca="1">INDIRECT("'"&amp;$C$1&amp;"'!"&amp;ADDRESS(6,2))</f>
        <v>0</v>
      </c>
      <c r="D6" s="32"/>
      <c r="E6" s="32"/>
      <c r="F6" s="39"/>
      <c r="G6" s="10"/>
      <c r="H6" s="20" t="str">
        <f ca="1">INDIRECT("'"&amp;$B$1&amp;"'!"&amp;ADDRESS(26,5))</f>
        <v>引き違い窓･小窓･特殊窓･PS外窓 小計</v>
      </c>
      <c r="I6" s="21">
        <f ca="1">INDIRECT("'"&amp;$B$1&amp;"'!"&amp;ADDRESS(26,8))-INDIRECT("'"&amp;$C$1&amp;"'!"&amp;ADDRESS(26,8))</f>
        <v>1192400</v>
      </c>
      <c r="K6" t="str">
        <f ca="1"/>
        <v>玄関･出入口 小計</v>
      </c>
      <c r="L6" s="30">
        <f ca="1"/>
        <v>944025</v>
      </c>
      <c r="N6" s="11" t="s">
        <v>751</v>
      </c>
      <c r="O6" s="54">
        <f ca="1">(U$13*U6+V$13*V6+W$13*W6)*1000</f>
        <v>2911799.9999999995</v>
      </c>
      <c r="P6" s="54">
        <f ca="1">(U$14*Z6+V$14*AA6)*1000</f>
        <v>0</v>
      </c>
      <c r="Q6" s="54">
        <f ca="1">($U$14*AC6+$V$14*AD6+$W$14*AE6)*1000</f>
        <v>0</v>
      </c>
      <c r="R6" s="54">
        <f ca="1">B$26*R$14*1000</f>
        <v>-765000</v>
      </c>
      <c r="S6" s="51">
        <f t="shared" ca="1" si="1"/>
        <v>2146799.9999999995</v>
      </c>
      <c r="U6" s="67">
        <v>42.9</v>
      </c>
      <c r="V6" s="67">
        <v>24.3</v>
      </c>
      <c r="W6" s="67">
        <v>12</v>
      </c>
      <c r="X6" s="67"/>
      <c r="Y6" s="67"/>
      <c r="Z6" s="67">
        <v>42</v>
      </c>
      <c r="AA6" s="67">
        <v>21</v>
      </c>
      <c r="AB6" s="67">
        <v>0</v>
      </c>
      <c r="AC6" s="67">
        <v>0.6</v>
      </c>
      <c r="AD6" s="67">
        <v>0.3</v>
      </c>
      <c r="AE6" s="67">
        <v>2</v>
      </c>
    </row>
    <row r="7" spans="1:31" x14ac:dyDescent="0.4">
      <c r="A7" s="37" t="s">
        <v>163</v>
      </c>
      <c r="B7" s="45" t="str">
        <f ca="1">INDIRECT("'"&amp;$B$1&amp;"'!"&amp;ADDRESS(7,2))</f>
        <v>[2026年2月5日発行版(山形)Ver9740]</v>
      </c>
      <c r="C7" s="45">
        <f ca="1">INDIRECT("'"&amp;$C$1&amp;"'!"&amp;ADDRESS(7,2))</f>
        <v>0</v>
      </c>
      <c r="D7" s="31"/>
      <c r="E7" s="31"/>
      <c r="F7" s="38"/>
      <c r="G7" s="10"/>
      <c r="H7" s="22" t="str">
        <f ca="1">INDIRECT("'"&amp;$B$1&amp;"'!"&amp;ADDRESS(27,5))</f>
        <v>出窓･天窓 小計</v>
      </c>
      <c r="I7" s="23">
        <f ca="1">INDIRECT("'"&amp;$B$1&amp;"'!"&amp;ADDRESS(27,8))-INDIRECT("'"&amp;$C$1&amp;"'!"&amp;ADDRESS(27,8))</f>
        <v>0</v>
      </c>
      <c r="K7" t="str">
        <f ca="1"/>
        <v>ﾊﾞﾙｺﾆｰ 小計</v>
      </c>
      <c r="L7" s="30">
        <f ca="1"/>
        <v>9600</v>
      </c>
      <c r="N7" s="11" t="s">
        <v>122</v>
      </c>
      <c r="O7" s="54">
        <f ca="1">(U$13*U7+V$13*V7+W$13*W7)*1000</f>
        <v>2943200</v>
      </c>
      <c r="P7" s="54">
        <f ca="1">(U$14*Z6+V$14*AA6)*1000</f>
        <v>0</v>
      </c>
      <c r="Q7" s="54">
        <f ca="1">($U$14*AC7+$V$14*AD7+$W$14*AE7)*1000</f>
        <v>0</v>
      </c>
      <c r="R7" s="54">
        <f ca="1">B$26*R$14*1000</f>
        <v>-765000</v>
      </c>
      <c r="S7" s="51">
        <f t="shared" ca="1" si="1"/>
        <v>2178200</v>
      </c>
      <c r="U7" s="67">
        <v>43.4</v>
      </c>
      <c r="V7" s="67">
        <v>24.5</v>
      </c>
      <c r="W7" s="67">
        <v>12</v>
      </c>
      <c r="X7" s="67"/>
      <c r="Y7" s="67"/>
      <c r="Z7" s="67">
        <v>42</v>
      </c>
      <c r="AA7" s="67">
        <v>21</v>
      </c>
      <c r="AB7" s="67">
        <v>0</v>
      </c>
      <c r="AC7" s="67">
        <v>0.6</v>
      </c>
      <c r="AD7" s="67">
        <v>0.3</v>
      </c>
      <c r="AE7" s="67">
        <v>2</v>
      </c>
    </row>
    <row r="8" spans="1:31" x14ac:dyDescent="0.4">
      <c r="A8" s="36" t="s">
        <v>70</v>
      </c>
      <c r="B8" s="44" t="str">
        <f ca="1">INDIRECT("'"&amp;$B$1&amp;"'!"&amp;ADDRESS(8,2))</f>
        <v>田中章大様、田中羽奏様</v>
      </c>
      <c r="C8" s="44">
        <f ca="1">INDIRECT("'"&amp;$C$1&amp;"'!"&amp;ADDRESS(8,2))</f>
        <v>0</v>
      </c>
      <c r="D8" s="32"/>
      <c r="E8" s="32"/>
      <c r="F8" s="39"/>
      <c r="G8" s="10"/>
      <c r="H8" s="20" t="str">
        <f ca="1">INDIRECT("'"&amp;$B$1&amp;"'!"&amp;ADDRESS(28,5))</f>
        <v>防災仕様UP分 小計</v>
      </c>
      <c r="I8" s="21">
        <f ca="1">INDIRECT("'"&amp;$B$1&amp;"'!"&amp;ADDRESS(28,8))-INDIRECT("'"&amp;$C$1&amp;"'!"&amp;ADDRESS(28,8))</f>
        <v>0</v>
      </c>
      <c r="K8" t="str">
        <f ca="1"/>
        <v>天井･壁･床仕上げ 小計</v>
      </c>
      <c r="L8" s="30">
        <f ca="1"/>
        <v>1854610</v>
      </c>
      <c r="N8" s="11" t="s">
        <v>752</v>
      </c>
      <c r="O8" s="54">
        <f ca="1">(U$13*U8+V$13*V8+W$13*W8)*1000+O6</f>
        <v>3173799.9999999995</v>
      </c>
      <c r="P8" s="54">
        <f ca="1">(U$14*Z6+V$14*AA6)*1000+(U$14*Z8+V$14*AA8)*1000</f>
        <v>0</v>
      </c>
      <c r="Q8" s="54">
        <f ca="1">($U$14*AC7+$V$14*AD7+$W$14*AE7)*1000</f>
        <v>0</v>
      </c>
      <c r="R8" s="54">
        <f ca="1">B$26*R$14*1000</f>
        <v>-765000</v>
      </c>
      <c r="S8" s="51">
        <f t="shared" ca="1" si="1"/>
        <v>2408799.9999999995</v>
      </c>
      <c r="U8" s="67">
        <v>4</v>
      </c>
      <c r="V8" s="67">
        <v>2.5</v>
      </c>
      <c r="W8" s="67"/>
      <c r="X8" s="67"/>
      <c r="Y8" s="67"/>
      <c r="Z8" s="67">
        <v>5</v>
      </c>
      <c r="AA8" s="67">
        <v>2.5</v>
      </c>
      <c r="AB8" s="67"/>
      <c r="AC8" s="67">
        <v>0</v>
      </c>
      <c r="AD8" s="67">
        <v>0</v>
      </c>
      <c r="AE8" s="67"/>
    </row>
    <row r="9" spans="1:31" x14ac:dyDescent="0.4">
      <c r="A9" s="37" t="s">
        <v>71</v>
      </c>
      <c r="B9" s="45" t="str">
        <f ca="1">INDIRECT("'"&amp;$B$1&amp;"'!"&amp;ADDRESS(9,2))</f>
        <v>空欄</v>
      </c>
      <c r="C9" s="45">
        <f ca="1">INDIRECT("'"&amp;$C$1&amp;"'!"&amp;ADDRESS(9,2))</f>
        <v>0</v>
      </c>
      <c r="D9" s="31"/>
      <c r="E9" s="31"/>
      <c r="F9" s="40"/>
      <c r="H9" s="22" t="str">
        <f ca="1">INDIRECT("'"&amp;$B$1&amp;"'!"&amp;ADDRESS(29,5))</f>
        <v>防犯仕様UP分 小計</v>
      </c>
      <c r="I9" s="23">
        <f ca="1">INDIRECT("'"&amp;$B$1&amp;"'!"&amp;ADDRESS(29,8))-INDIRECT("'"&amp;$C$1&amp;"'!"&amp;ADDRESS(29,8))</f>
        <v>0</v>
      </c>
      <c r="K9" t="str">
        <f ca="1"/>
        <v>間仕切･壁手摺 小計</v>
      </c>
      <c r="L9" s="30">
        <f ca="1"/>
        <v>786700</v>
      </c>
      <c r="N9" s="11" t="s">
        <v>748</v>
      </c>
      <c r="O9" s="54">
        <f t="shared" ca="1" si="0"/>
        <v>3668900</v>
      </c>
      <c r="P9" s="54">
        <f ca="1">(U$14*Z9+V$14*AA9)*1000</f>
        <v>0</v>
      </c>
      <c r="Q9" s="54">
        <f ca="1">($U$14*AC9+$V$14*AD9+$W$14*AE9)*1000</f>
        <v>0</v>
      </c>
      <c r="R9" s="54">
        <f ca="1">B$26*R$13*1000</f>
        <v>-315000</v>
      </c>
      <c r="S9" s="51">
        <f t="shared" ca="1" si="1"/>
        <v>3353900</v>
      </c>
      <c r="U9" s="67">
        <v>54.5</v>
      </c>
      <c r="V9" s="67">
        <v>27.2</v>
      </c>
      <c r="W9" s="67">
        <v>16.5</v>
      </c>
      <c r="X9" s="67"/>
      <c r="Y9" s="67"/>
      <c r="Z9" s="67">
        <v>48</v>
      </c>
      <c r="AA9" s="67">
        <v>24</v>
      </c>
      <c r="AB9" s="67">
        <v>0</v>
      </c>
      <c r="AC9" s="67">
        <v>0.6</v>
      </c>
      <c r="AD9" s="67">
        <v>0.3</v>
      </c>
      <c r="AE9" s="67">
        <v>2</v>
      </c>
    </row>
    <row r="10" spans="1:31" x14ac:dyDescent="0.4">
      <c r="A10" s="36" t="s">
        <v>72</v>
      </c>
      <c r="B10" s="44" t="str">
        <f ca="1">INDIRECT("'"&amp;$B$1&amp;"'!"&amp;ADDRESS(10,2))</f>
        <v>2026年 6月 5日</v>
      </c>
      <c r="C10" s="44">
        <f ca="1">INDIRECT("'"&amp;$C$1&amp;"'!"&amp;ADDRESS(10,2))</f>
        <v>0</v>
      </c>
      <c r="D10" s="32"/>
      <c r="E10" s="32"/>
      <c r="F10" s="41"/>
      <c r="H10" s="20" t="str">
        <f ca="1">INDIRECT("'"&amp;$B$1&amp;"'!"&amp;ADDRESS(30,5))</f>
        <v>新防火ｻｯｼ 小計</v>
      </c>
      <c r="I10" s="21">
        <f ca="1">INDIRECT("'"&amp;$B$1&amp;"'!"&amp;ADDRESS(30,8))-INDIRECT("'"&amp;$C$1&amp;"'!"&amp;ADDRESS(30,8))</f>
        <v>0</v>
      </c>
      <c r="K10" t="str">
        <f ca="1"/>
        <v>洋室 他 小計</v>
      </c>
      <c r="L10" s="30">
        <f ca="1"/>
        <v>1074800</v>
      </c>
      <c r="N10" s="11" t="s">
        <v>749</v>
      </c>
      <c r="O10" s="54">
        <f ca="1">(U$13*(U10+X10)+V$13*(V10+Y10)+W$13*W10)*1000</f>
        <v>3913799.9999999995</v>
      </c>
      <c r="P10" s="54">
        <f ca="1">(U$14*Z10+V$14*AA10)*1000</f>
        <v>0</v>
      </c>
      <c r="Q10" s="54">
        <f ca="1">($U$14*AC10+$V$14*AD10+$W$14*AE10)*1000</f>
        <v>0</v>
      </c>
      <c r="R10" s="54">
        <f ca="1">B$26*R$13*1000</f>
        <v>-315000</v>
      </c>
      <c r="S10" s="51">
        <f t="shared" ca="1" si="1"/>
        <v>3598799.9999999995</v>
      </c>
      <c r="U10" s="67">
        <v>63.4</v>
      </c>
      <c r="V10" s="67">
        <v>32.6</v>
      </c>
      <c r="W10" s="67">
        <v>18</v>
      </c>
      <c r="X10" s="67">
        <v>-5.5</v>
      </c>
      <c r="Y10" s="67">
        <v>-2.8</v>
      </c>
      <c r="Z10" s="67">
        <v>50</v>
      </c>
      <c r="AA10" s="67">
        <v>25</v>
      </c>
      <c r="AB10" s="67">
        <v>0</v>
      </c>
      <c r="AC10" s="67">
        <v>0.6</v>
      </c>
      <c r="AD10" s="67">
        <v>0.3</v>
      </c>
      <c r="AE10" s="67">
        <v>2</v>
      </c>
    </row>
    <row r="11" spans="1:31" x14ac:dyDescent="0.4">
      <c r="A11" s="37" t="s">
        <v>80</v>
      </c>
      <c r="B11" s="46">
        <f ca="1">INDIRECT("'"&amp;$B$1&amp;"'!"&amp;ADDRESS(11,2))</f>
        <v>57.26</v>
      </c>
      <c r="C11" s="46">
        <f ca="1">INDIRECT("'"&amp;$C$1&amp;"'!"&amp;ADDRESS(11,2))</f>
        <v>0</v>
      </c>
      <c r="D11" s="46">
        <f ca="1">B11-C11</f>
        <v>57.26</v>
      </c>
      <c r="E11" s="31"/>
      <c r="F11" s="40"/>
      <c r="H11" s="22" t="str">
        <f ca="1">INDIRECT("'"&amp;$B$1&amp;"'!"&amp;ADDRESS(31,5))</f>
        <v>開口付帯 小計</v>
      </c>
      <c r="I11" s="23">
        <f ca="1">INDIRECT("'"&amp;$B$1&amp;"'!"&amp;ADDRESS(31,8))-INDIRECT("'"&amp;$C$1&amp;"'!"&amp;ADDRESS(31,8))</f>
        <v>0</v>
      </c>
      <c r="K11" t="str">
        <f ca="1"/>
        <v>和室 小計</v>
      </c>
      <c r="L11" s="30">
        <f ca="1"/>
        <v>10800</v>
      </c>
      <c r="N11" s="11" t="s">
        <v>750</v>
      </c>
      <c r="O11" s="54">
        <f ca="1">(U$13*U11+V$13*V11+W$13*W11)*1000+O10</f>
        <v>4045199.9999999995</v>
      </c>
      <c r="P11" s="54">
        <f ca="1">(U$14*Z10+V$14*AA10)*1000</f>
        <v>0</v>
      </c>
      <c r="Q11" s="54">
        <f ca="1">($U$14*AC10+$V$14*AD10+$W$14*AE10)*1000</f>
        <v>0</v>
      </c>
      <c r="R11" s="54">
        <f ca="1">B$26*R$13*1000</f>
        <v>-315000</v>
      </c>
      <c r="S11" s="51">
        <f t="shared" ca="1" si="1"/>
        <v>3730199.9999999995</v>
      </c>
      <c r="U11" s="67">
        <v>2.1</v>
      </c>
      <c r="V11" s="67">
        <v>0.8</v>
      </c>
      <c r="W11" s="67"/>
      <c r="X11" s="67"/>
      <c r="Y11" s="67"/>
      <c r="Z11" s="67"/>
      <c r="AA11" s="67"/>
      <c r="AB11" s="67"/>
      <c r="AC11" s="67"/>
      <c r="AD11" s="67"/>
      <c r="AE11" s="67"/>
    </row>
    <row r="12" spans="1:31" x14ac:dyDescent="0.4">
      <c r="A12" s="36" t="s">
        <v>81</v>
      </c>
      <c r="B12" s="47">
        <f ca="1">INDIRECT("'"&amp;$B$1&amp;"'!"&amp;ADDRESS(12,2))</f>
        <v>45.85</v>
      </c>
      <c r="C12" s="47">
        <f ca="1">INDIRECT("'"&amp;$C$1&amp;"'!"&amp;ADDRESS(12,2))</f>
        <v>0</v>
      </c>
      <c r="D12" s="47">
        <f t="shared" ref="D12:D16" ca="1" si="2">B12-C12</f>
        <v>45.85</v>
      </c>
      <c r="E12" s="32"/>
      <c r="F12" s="41"/>
      <c r="H12" s="20" t="str">
        <f ca="1">INDIRECT("'"&amp;$B$1&amp;"'!"&amp;ADDRESS(32,5))</f>
        <v>玄関･出入口 小計</v>
      </c>
      <c r="I12" s="21">
        <f ca="1">INDIRECT("'"&amp;$B$1&amp;"'!"&amp;ADDRESS(32,8))-INDIRECT("'"&amp;$C$1&amp;"'!"&amp;ADDRESS(32,8))</f>
        <v>944025</v>
      </c>
      <c r="K12" t="str">
        <f ca="1"/>
        <v>階段･吹抜 小計</v>
      </c>
      <c r="L12" s="30">
        <f ca="1"/>
        <v>241500</v>
      </c>
      <c r="N12" s="14"/>
      <c r="O12" s="15"/>
      <c r="P12" s="16"/>
      <c r="Q12" s="17" t="s">
        <v>144</v>
      </c>
      <c r="R12" s="17"/>
      <c r="S12" s="17"/>
      <c r="U12" s="55" t="s">
        <v>110</v>
      </c>
      <c r="V12" s="55" t="s">
        <v>112</v>
      </c>
      <c r="W12" s="55" t="s">
        <v>113</v>
      </c>
      <c r="X12" s="55" t="s">
        <v>119</v>
      </c>
      <c r="Y12" s="55" t="s">
        <v>120</v>
      </c>
      <c r="Z12" s="55" t="s">
        <v>110</v>
      </c>
      <c r="AA12" s="55" t="s">
        <v>112</v>
      </c>
      <c r="AB12" s="55" t="s">
        <v>113</v>
      </c>
      <c r="AC12" s="55" t="s">
        <v>110</v>
      </c>
      <c r="AD12" s="55" t="s">
        <v>112</v>
      </c>
      <c r="AE12" s="55" t="s">
        <v>113</v>
      </c>
    </row>
    <row r="13" spans="1:31" x14ac:dyDescent="0.4">
      <c r="A13" s="37" t="s">
        <v>167</v>
      </c>
      <c r="B13" s="46">
        <f ca="1">INDIRECT("'"&amp;$B$1&amp;"'!"&amp;ADDRESS(13,2))</f>
        <v>0</v>
      </c>
      <c r="C13" s="46">
        <f ca="1">INDIRECT("'"&amp;$C$1&amp;"'!"&amp;ADDRESS(13,2))</f>
        <v>0</v>
      </c>
      <c r="D13" s="46">
        <f t="shared" ca="1" si="2"/>
        <v>0</v>
      </c>
      <c r="E13" s="31"/>
      <c r="F13" s="40"/>
      <c r="H13" s="22" t="str">
        <f ca="1">INDIRECT("'"&amp;$B$1&amp;"'!"&amp;ADDRESS(33,5))</f>
        <v>玄関･出入口(新防火) 小計</v>
      </c>
      <c r="I13" s="23">
        <f ca="1">INDIRECT("'"&amp;$B$1&amp;"'!"&amp;ADDRESS(33,8))-INDIRECT("'"&amp;$C$1&amp;"'!"&amp;ADDRESS(33,8))</f>
        <v>0</v>
      </c>
      <c r="K13" t="str">
        <f ca="1"/>
        <v>ｾｷｽｲｲﾝﾃﾘｱ手配ﾒﾆｭｰ 小計</v>
      </c>
      <c r="L13" s="30">
        <f ca="1"/>
        <v>270100</v>
      </c>
      <c r="Q13" s="12" t="s">
        <v>145</v>
      </c>
      <c r="R13" s="12">
        <v>-7</v>
      </c>
      <c r="S13" s="17"/>
      <c r="T13" t="s">
        <v>848</v>
      </c>
      <c r="U13" s="70">
        <f ca="1">B29</f>
        <v>58</v>
      </c>
      <c r="V13" s="70">
        <f ca="1">B30</f>
        <v>12</v>
      </c>
      <c r="W13" s="70">
        <f ca="1">B31</f>
        <v>11</v>
      </c>
      <c r="Z13" s="63" t="s">
        <v>846</v>
      </c>
      <c r="AA13" s="64"/>
      <c r="AB13" s="65"/>
      <c r="AC13" s="63" t="s">
        <v>847</v>
      </c>
      <c r="AD13" s="64"/>
      <c r="AE13" s="65"/>
    </row>
    <row r="14" spans="1:31" x14ac:dyDescent="0.4">
      <c r="A14" s="36" t="s">
        <v>82</v>
      </c>
      <c r="B14" s="47">
        <f ca="1">INDIRECT("'"&amp;$B$1&amp;"'!"&amp;ADDRESS(14,2))</f>
        <v>103.11</v>
      </c>
      <c r="C14" s="47">
        <f ca="1">INDIRECT("'"&amp;$C$1&amp;"'!"&amp;ADDRESS(14,2))</f>
        <v>0</v>
      </c>
      <c r="D14" s="47">
        <f t="shared" ca="1" si="2"/>
        <v>103.11</v>
      </c>
      <c r="E14" s="32"/>
      <c r="F14" s="41"/>
      <c r="H14" s="20" t="str">
        <f ca="1">INDIRECT("'"&amp;$B$1&amp;"'!"&amp;ADDRESS(34,5))</f>
        <v>ﾊﾞﾙｺﾆｰ 小計</v>
      </c>
      <c r="I14" s="21">
        <f ca="1">INDIRECT("'"&amp;$B$1&amp;"'!"&amp;ADDRESS(34,8))-INDIRECT("'"&amp;$C$1&amp;"'!"&amp;ADDRESS(34,8))</f>
        <v>9600</v>
      </c>
      <c r="K14" t="str">
        <f ca="1"/>
        <v>ｷｯﾁﾝ 小計</v>
      </c>
      <c r="L14" s="30">
        <f ca="1"/>
        <v>2680016</v>
      </c>
      <c r="O14" s="17"/>
      <c r="P14" s="17"/>
      <c r="Q14" s="12" t="s">
        <v>146</v>
      </c>
      <c r="R14" s="12">
        <v>-17</v>
      </c>
      <c r="S14" s="17"/>
      <c r="T14" t="s">
        <v>996</v>
      </c>
      <c r="U14" s="71">
        <f ca="1">IFERROR(B32,0)</f>
        <v>0</v>
      </c>
      <c r="V14" s="71">
        <f ca="1">IFERROR(B33,0)</f>
        <v>0</v>
      </c>
      <c r="W14" s="71">
        <f ca="1">IFERROR(B34,0)</f>
        <v>0</v>
      </c>
    </row>
    <row r="15" spans="1:31" x14ac:dyDescent="0.4">
      <c r="A15" s="37" t="s">
        <v>83</v>
      </c>
      <c r="B15" s="46">
        <f ca="1">INDIRECT("'"&amp;$B$1&amp;"'!"&amp;ADDRESS(15,2))</f>
        <v>59.7</v>
      </c>
      <c r="C15" s="46">
        <f ca="1">INDIRECT("'"&amp;$C$1&amp;"'!"&amp;ADDRESS(15,2))</f>
        <v>0</v>
      </c>
      <c r="D15" s="46">
        <f t="shared" ca="1" si="2"/>
        <v>59.7</v>
      </c>
      <c r="E15" s="31"/>
      <c r="F15" s="40"/>
      <c r="H15" s="22" t="str">
        <f ca="1">INDIRECT("'"&amp;$B$1&amp;"'!"&amp;ADDRESS(35,5))</f>
        <v>2階玄関･外階段 小計</v>
      </c>
      <c r="I15" s="23">
        <f ca="1">INDIRECT("'"&amp;$B$1&amp;"'!"&amp;ADDRESS(35,8))-INDIRECT("'"&amp;$C$1&amp;"'!"&amp;ADDRESS(35,8))</f>
        <v>0</v>
      </c>
      <c r="K15" t="str">
        <f ca="1"/>
        <v>ｻﾆﾀﾘｰ 小計</v>
      </c>
      <c r="L15" s="30">
        <f ca="1"/>
        <v>1530400</v>
      </c>
      <c r="P15" s="18"/>
      <c r="S15" s="17"/>
    </row>
    <row r="16" spans="1:31" x14ac:dyDescent="0.4">
      <c r="A16" s="36" t="s">
        <v>84</v>
      </c>
      <c r="B16" s="47">
        <f ca="1">INDIRECT("'"&amp;$B$1&amp;"'!"&amp;ADDRESS(16,2))</f>
        <v>0</v>
      </c>
      <c r="C16" s="47">
        <f ca="1">INDIRECT("'"&amp;$C$1&amp;"'!"&amp;ADDRESS(16,2))</f>
        <v>0</v>
      </c>
      <c r="D16" s="47">
        <f t="shared" ca="1" si="2"/>
        <v>0</v>
      </c>
      <c r="E16" s="32"/>
      <c r="F16" s="41"/>
      <c r="H16" s="20" t="str">
        <f ca="1">INDIRECT("'"&amp;$B$1&amp;"'!"&amp;ADDRESS(36,5))</f>
        <v>車庫 小計</v>
      </c>
      <c r="I16" s="21">
        <f ca="1">INDIRECT("'"&amp;$B$1&amp;"'!"&amp;ADDRESS(36,8))-INDIRECT("'"&amp;$C$1&amp;"'!"&amp;ADDRESS(36,8))</f>
        <v>0</v>
      </c>
      <c r="K16" t="str">
        <f ca="1"/>
        <v>給湯器 小計</v>
      </c>
      <c r="L16" s="30">
        <f ca="1"/>
        <v>728600</v>
      </c>
      <c r="P16" s="18"/>
      <c r="S16" s="17"/>
    </row>
    <row r="17" spans="1:12" x14ac:dyDescent="0.4">
      <c r="A17" s="37" t="s">
        <v>79</v>
      </c>
      <c r="B17" s="45" t="str">
        <f ca="1">INDIRECT("'"&amp;$B$1&amp;"'!"&amp;ADDRESS(17,2))</f>
        <v>２４天井</v>
      </c>
      <c r="C17" s="45">
        <f ca="1">INDIRECT("'"&amp;$C$1&amp;"'!"&amp;ADDRESS(17,2))</f>
        <v>0</v>
      </c>
      <c r="D17" s="45"/>
      <c r="E17" s="31"/>
      <c r="F17" s="40"/>
      <c r="H17" s="22" t="str">
        <f ca="1">INDIRECT("'"&amp;$B$1&amp;"'!"&amp;ADDRESS(37,5))</f>
        <v>桁付ﾊﾞﾙｺﾆｰ･2階庇延長 小計</v>
      </c>
      <c r="I17" s="23">
        <f ca="1">INDIRECT("'"&amp;$B$1&amp;"'!"&amp;ADDRESS(37,8))-INDIRECT("'"&amp;$C$1&amp;"'!"&amp;ADDRESS(37,8))</f>
        <v>0</v>
      </c>
      <c r="K17" t="str">
        <f ca="1"/>
        <v>配管PS 小計</v>
      </c>
      <c r="L17" s="30">
        <f ca="1"/>
        <v>24600</v>
      </c>
    </row>
    <row r="18" spans="1:12" x14ac:dyDescent="0.4">
      <c r="A18" s="42" t="s">
        <v>78</v>
      </c>
      <c r="B18" s="44" t="str">
        <f ca="1">INDIRECT("'"&amp;$B$1&amp;"'!"&amp;ADDRESS(18,2))</f>
        <v>１階：タイル２階：タイル</v>
      </c>
      <c r="C18" s="44">
        <f ca="1">INDIRECT("'"&amp;$C$1&amp;"'!"&amp;ADDRESS(18,2))</f>
        <v>0</v>
      </c>
      <c r="D18" s="44"/>
      <c r="E18" s="32"/>
      <c r="F18" s="41"/>
      <c r="H18" s="20" t="str">
        <f ca="1">INDIRECT("'"&amp;$B$1&amp;"'!"&amp;ADDRESS(38,5))</f>
        <v>天井･壁･床仕上げ 小計</v>
      </c>
      <c r="I18" s="21">
        <f ca="1">INDIRECT("'"&amp;$B$1&amp;"'!"&amp;ADDRESS(38,8))-INDIRECT("'"&amp;$C$1&amp;"'!"&amp;ADDRESS(38,8))</f>
        <v>1854610</v>
      </c>
      <c r="K18" t="str">
        <f ca="1"/>
        <v>電気 小計</v>
      </c>
      <c r="L18" s="30">
        <f ca="1"/>
        <v>1455600</v>
      </c>
    </row>
    <row r="19" spans="1:12" x14ac:dyDescent="0.4">
      <c r="A19" s="43" t="s">
        <v>75</v>
      </c>
      <c r="B19" s="45" t="str">
        <f ca="1">INDIRECT("'"&amp;$B$1&amp;"'!"&amp;ADDRESS(19,2))</f>
        <v>杭状地盤補強ライン柱型シングルベタ基礎</v>
      </c>
      <c r="C19" s="45">
        <f ca="1">INDIRECT("'"&amp;$C$1&amp;"'!"&amp;ADDRESS(19,2))</f>
        <v>0</v>
      </c>
      <c r="D19" s="45"/>
      <c r="E19" s="31"/>
      <c r="F19" s="40"/>
      <c r="H19" s="22" t="str">
        <f ca="1">INDIRECT("'"&amp;$B$1&amp;"'!"&amp;ADDRESS(39,5))</f>
        <v>間仕切･壁手摺 小計</v>
      </c>
      <c r="I19" s="23">
        <f ca="1">INDIRECT("'"&amp;$B$1&amp;"'!"&amp;ADDRESS(39,8))-INDIRECT("'"&amp;$C$1&amp;"'!"&amp;ADDRESS(39,8))</f>
        <v>786700</v>
      </c>
      <c r="K19" t="str">
        <f ca="1"/>
        <v>ｴｱｰﾌｧｸﾄﾘｰ 小計</v>
      </c>
      <c r="L19" s="30">
        <f ca="1"/>
        <v>292000</v>
      </c>
    </row>
    <row r="20" spans="1:12" x14ac:dyDescent="0.4">
      <c r="A20" s="42" t="s">
        <v>85</v>
      </c>
      <c r="B20" s="44">
        <f ca="1">INDIRECT("'"&amp;$B$1&amp;"'!"&amp;ADDRESS(22,2))</f>
        <v>35855451</v>
      </c>
      <c r="C20" s="44">
        <f ca="1">INDIRECT("'"&amp;$C$1&amp;"'!"&amp;ADDRESS(22,2))</f>
        <v>0</v>
      </c>
      <c r="D20" s="44">
        <f t="shared" ref="D20:D34" ca="1" si="3">B20-C20</f>
        <v>35855451</v>
      </c>
      <c r="E20" s="32"/>
      <c r="F20" s="41"/>
      <c r="H20" s="20" t="str">
        <f ca="1">INDIRECT("'"&amp;$B$1&amp;"'!"&amp;ADDRESS(40,5))</f>
        <v>洋室 他 小計</v>
      </c>
      <c r="I20" s="21">
        <f ca="1">INDIRECT("'"&amp;$B$1&amp;"'!"&amp;ADDRESS(40,8))-INDIRECT("'"&amp;$C$1&amp;"'!"&amp;ADDRESS(40,8))</f>
        <v>1074800</v>
      </c>
      <c r="K20" t="str">
        <f ca="1"/>
        <v>快適ｴｱﾘｰ 小計</v>
      </c>
      <c r="L20" s="30">
        <f ca="1"/>
        <v>761100</v>
      </c>
    </row>
    <row r="21" spans="1:12" x14ac:dyDescent="0.4">
      <c r="A21" s="43" t="s">
        <v>86</v>
      </c>
      <c r="B21" s="45">
        <f ca="1">INDIRECT("'"&amp;$B$1&amp;"'!"&amp;ADDRESS(23,2))</f>
        <v>1149553</v>
      </c>
      <c r="C21" s="45">
        <f ca="1">INDIRECT("'"&amp;$C$1&amp;"'!"&amp;ADDRESS(23,2))</f>
        <v>0</v>
      </c>
      <c r="D21" s="45">
        <f t="shared" ca="1" si="3"/>
        <v>1149553</v>
      </c>
      <c r="E21" s="31"/>
      <c r="F21" s="40"/>
      <c r="H21" s="22" t="str">
        <f ca="1">INDIRECT("'"&amp;$B$1&amp;"'!"&amp;ADDRESS(41,5))</f>
        <v>和室 小計</v>
      </c>
      <c r="I21" s="23">
        <f ca="1">INDIRECT("'"&amp;$B$1&amp;"'!"&amp;ADDRESS(41,8))-INDIRECT("'"&amp;$C$1&amp;"'!"&amp;ADDRESS(41,8))</f>
        <v>10800</v>
      </c>
      <c r="K21" t="str">
        <f ca="1"/>
        <v>基礎工事費 小計</v>
      </c>
      <c r="L21" s="30">
        <f ca="1"/>
        <v>2106680</v>
      </c>
    </row>
    <row r="22" spans="1:12" x14ac:dyDescent="0.4">
      <c r="A22" s="42" t="s">
        <v>87</v>
      </c>
      <c r="B22" s="44">
        <f ca="1">INDIRECT("'"&amp;$B$1&amp;"'!"&amp;ADDRESS(24,2))</f>
        <v>1053100</v>
      </c>
      <c r="C22" s="44">
        <f ca="1">INDIRECT("'"&amp;$C$1&amp;"'!"&amp;ADDRESS(24,2))</f>
        <v>0</v>
      </c>
      <c r="D22" s="44">
        <f t="shared" ca="1" si="3"/>
        <v>1053100</v>
      </c>
      <c r="E22" s="32"/>
      <c r="F22" s="41"/>
      <c r="H22" s="20" t="str">
        <f ca="1">INDIRECT("'"&amp;$B$1&amp;"'!"&amp;ADDRESS(42,5))</f>
        <v>階段･吹抜 小計</v>
      </c>
      <c r="I22" s="21">
        <f ca="1">INDIRECT("'"&amp;$B$1&amp;"'!"&amp;ADDRESS(42,8))-INDIRECT("'"&amp;$C$1&amp;"'!"&amp;ADDRESS(42,8))</f>
        <v>241500</v>
      </c>
      <c r="K22" t="str">
        <f ca="1"/>
        <v>据付大工工事費その他 小計</v>
      </c>
      <c r="L22" s="30">
        <f ca="1"/>
        <v>1093700</v>
      </c>
    </row>
    <row r="23" spans="1:12" x14ac:dyDescent="0.4">
      <c r="A23" s="43" t="s">
        <v>88</v>
      </c>
      <c r="B23" s="45">
        <f ca="1">INDIRECT("'"&amp;$B$1&amp;"'!"&amp;ADDRESS(25,2))</f>
        <v>0</v>
      </c>
      <c r="C23" s="45">
        <f ca="1">INDIRECT("'"&amp;$C$1&amp;"'!"&amp;ADDRESS(25,2))</f>
        <v>0</v>
      </c>
      <c r="D23" s="45">
        <f t="shared" ca="1" si="3"/>
        <v>0</v>
      </c>
      <c r="E23" s="31"/>
      <c r="F23" s="40"/>
      <c r="H23" s="22" t="str">
        <f ca="1">INDIRECT("'"&amp;$B$1&amp;"'!"&amp;ADDRESS(43,5))</f>
        <v>U型ｵｰﾌﾟﾝ18(20)階段･ｵｰﾌﾟﾝ踊り場 小計</v>
      </c>
      <c r="I23" s="23">
        <f ca="1">INDIRECT("'"&amp;$B$1&amp;"'!"&amp;ADDRESS(43,8))-INDIRECT("'"&amp;$C$1&amp;"'!"&amp;ADDRESS(43,8))</f>
        <v>0</v>
      </c>
      <c r="K23" t="str">
        <f ca="1"/>
        <v>共通本体工事 小計</v>
      </c>
      <c r="L23" s="30">
        <f ca="1"/>
        <v>225900</v>
      </c>
    </row>
    <row r="24" spans="1:12" x14ac:dyDescent="0.4">
      <c r="A24" s="42" t="s">
        <v>89</v>
      </c>
      <c r="B24" s="44">
        <f ca="1">INDIRECT("'"&amp;$B$1&amp;"'!"&amp;ADDRESS(26,2))</f>
        <v>34802351</v>
      </c>
      <c r="C24" s="44">
        <f ca="1">INDIRECT("'"&amp;$C$1&amp;"'!"&amp;ADDRESS(26,2))</f>
        <v>0</v>
      </c>
      <c r="D24" s="44">
        <f t="shared" ca="1" si="3"/>
        <v>34802351</v>
      </c>
      <c r="E24" s="32"/>
      <c r="F24" s="41"/>
      <c r="H24" s="20" t="str">
        <f ca="1">INDIRECT("'"&amp;$B$1&amp;"'!"&amp;ADDRESS(44,5))</f>
        <v>ｽｷｯﾌﾟｱｯﾌﾟﾋﾟｯﾄ 小計</v>
      </c>
      <c r="I24" s="21">
        <f ca="1">INDIRECT("'"&amp;$B$1&amp;"'!"&amp;ADDRESS(44,8))-INDIRECT("'"&amp;$C$1&amp;"'!"&amp;ADDRESS(44,8))</f>
        <v>0</v>
      </c>
      <c r="K24" t="str">
        <f ca="1"/>
        <v>共通基礎工事 小計</v>
      </c>
      <c r="L24" s="30">
        <f ca="1"/>
        <v>798100</v>
      </c>
    </row>
    <row r="25" spans="1:12" x14ac:dyDescent="0.4">
      <c r="A25" s="43" t="s">
        <v>90</v>
      </c>
      <c r="B25" s="45">
        <f ca="1">INDIRECT("'"&amp;$B$1&amp;"'!"&amp;ADDRESS(27,2))</f>
        <v>1115789</v>
      </c>
      <c r="C25" s="45">
        <f ca="1">INDIRECT("'"&amp;$C$1&amp;"'!"&amp;ADDRESS(27,2))</f>
        <v>0</v>
      </c>
      <c r="D25" s="45">
        <f t="shared" ca="1" si="3"/>
        <v>1115789</v>
      </c>
      <c r="E25" s="31"/>
      <c r="F25" s="40"/>
      <c r="H25" s="22" t="str">
        <f ca="1">INDIRECT("'"&amp;$B$1&amp;"'!"&amp;ADDRESS(45,5))</f>
        <v>ｾｷｽｲｲﾝﾃﾘｱ手配ﾒﾆｭｰ 小計</v>
      </c>
      <c r="I25" s="23">
        <f ca="1">INDIRECT("'"&amp;$B$1&amp;"'!"&amp;ADDRESS(45,8))-INDIRECT("'"&amp;$C$1&amp;"'!"&amp;ADDRESS(45,8))</f>
        <v>270100</v>
      </c>
      <c r="K25" t="str">
        <f ca="1"/>
        <v>共通据付工事 小計</v>
      </c>
      <c r="L25" s="30">
        <f ca="1"/>
        <v>480000</v>
      </c>
    </row>
    <row r="26" spans="1:12" x14ac:dyDescent="0.4">
      <c r="A26" s="42" t="s">
        <v>91</v>
      </c>
      <c r="B26" s="44">
        <f ca="1">INDIRECT("'"&amp;$B$1&amp;"'!"&amp;ADDRESS(28,2))</f>
        <v>45</v>
      </c>
      <c r="C26" s="44">
        <f ca="1">INDIRECT("'"&amp;$C$1&amp;"'!"&amp;ADDRESS(28,2))</f>
        <v>0</v>
      </c>
      <c r="D26" s="44">
        <f t="shared" ca="1" si="3"/>
        <v>45</v>
      </c>
      <c r="E26" s="32"/>
      <c r="F26" s="41"/>
      <c r="H26" s="20" t="str">
        <f ca="1">INDIRECT("'"&amp;$B$1&amp;"'!"&amp;ADDRESS(46,5))</f>
        <v>ｷｯﾁﾝ 小計</v>
      </c>
      <c r="I26" s="21">
        <f ca="1">INDIRECT("'"&amp;$B$1&amp;"'!"&amp;ADDRESS(46,8))-INDIRECT("'"&amp;$C$1&amp;"'!"&amp;ADDRESS(46,8))</f>
        <v>2680016</v>
      </c>
      <c r="K26" t="str">
        <f ca="1"/>
        <v>仮設工事 小計</v>
      </c>
      <c r="L26" s="30">
        <f ca="1"/>
        <v>195000</v>
      </c>
    </row>
    <row r="27" spans="1:12" x14ac:dyDescent="0.4">
      <c r="A27" s="43" t="s">
        <v>164</v>
      </c>
      <c r="B27" s="45">
        <f ca="1">INDIRECT("'"&amp;$B$1&amp;"'!"&amp;ADDRESS(29,2))</f>
        <v>11</v>
      </c>
      <c r="C27" s="45">
        <f ca="1">INDIRECT("'"&amp;$C$1&amp;"'!"&amp;ADDRESS(29,2))</f>
        <v>0</v>
      </c>
      <c r="D27" s="45">
        <f t="shared" ca="1" si="3"/>
        <v>11</v>
      </c>
      <c r="E27" s="31"/>
      <c r="F27" s="40"/>
      <c r="H27" s="22" t="str">
        <f ca="1">INDIRECT("'"&amp;$B$1&amp;"'!"&amp;ADDRESS(47,5))</f>
        <v>ｻﾆﾀﾘｰ 小計</v>
      </c>
      <c r="I27" s="23">
        <f ca="1">INDIRECT("'"&amp;$B$1&amp;"'!"&amp;ADDRESS(47,8))-INDIRECT("'"&amp;$C$1&amp;"'!"&amp;ADDRESS(47,8))</f>
        <v>1530400</v>
      </c>
      <c r="K27" t="str">
        <f ca="1"/>
        <v>用地整備 小計</v>
      </c>
      <c r="L27" s="30">
        <f ca="1"/>
        <v>200000</v>
      </c>
    </row>
    <row r="28" spans="1:12" x14ac:dyDescent="0.4">
      <c r="A28" s="42" t="s">
        <v>165</v>
      </c>
      <c r="B28" s="44">
        <f ca="1">INDIRECT("'"&amp;$B$1&amp;"'!"&amp;ADDRESS(30,2))</f>
        <v>6</v>
      </c>
      <c r="C28" s="44">
        <f ca="1">INDIRECT("'"&amp;$C$1&amp;"'!"&amp;ADDRESS(30,2))</f>
        <v>0</v>
      </c>
      <c r="D28" s="44">
        <f t="shared" ca="1" si="3"/>
        <v>6</v>
      </c>
      <c r="E28" s="32"/>
      <c r="F28" s="41"/>
      <c r="H28" s="20" t="str">
        <f ca="1">INDIRECT("'"&amp;$B$1&amp;"'!"&amp;ADDRESS(48,5))</f>
        <v>給湯器 小計</v>
      </c>
      <c r="I28" s="21">
        <f ca="1">INDIRECT("'"&amp;$B$1&amp;"'!"&amp;ADDRESS(48,8))-INDIRECT("'"&amp;$C$1&amp;"'!"&amp;ADDRESS(48,8))</f>
        <v>728600</v>
      </c>
      <c r="K28" t="str">
        <f ca="1"/>
        <v>その他経費 小計</v>
      </c>
      <c r="L28" s="30">
        <f ca="1"/>
        <v>1620800</v>
      </c>
    </row>
    <row r="29" spans="1:12" x14ac:dyDescent="0.4">
      <c r="A29" s="43" t="s">
        <v>92</v>
      </c>
      <c r="B29" s="45">
        <f ca="1">INDIRECT("'"&amp;$B$1&amp;"'!"&amp;ADDRESS(31,2))</f>
        <v>58</v>
      </c>
      <c r="C29" s="45">
        <f ca="1">INDIRECT("'"&amp;$C$1&amp;"'!"&amp;ADDRESS(31,2))</f>
        <v>0</v>
      </c>
      <c r="D29" s="45">
        <f t="shared" ca="1" si="3"/>
        <v>58</v>
      </c>
      <c r="E29" s="31"/>
      <c r="F29" s="40"/>
      <c r="H29" s="22" t="str">
        <f ca="1">INDIRECT("'"&amp;$B$1&amp;"'!"&amp;ADDRESS(49,5))</f>
        <v>配管PS 小計</v>
      </c>
      <c r="I29" s="23">
        <f ca="1">INDIRECT("'"&amp;$B$1&amp;"'!"&amp;ADDRESS(49,8))-INDIRECT("'"&amp;$C$1&amp;"'!"&amp;ADDRESS(49,8))</f>
        <v>24600</v>
      </c>
      <c r="K29" t="str">
        <f ca="1"/>
        <v>申請料 棟 小計</v>
      </c>
      <c r="L29" s="30">
        <f ca="1"/>
        <v>245000</v>
      </c>
    </row>
    <row r="30" spans="1:12" x14ac:dyDescent="0.4">
      <c r="A30" s="42" t="s">
        <v>93</v>
      </c>
      <c r="B30" s="44">
        <f ca="1">INDIRECT("'"&amp;$B$1&amp;"'!"&amp;ADDRESS(32,2))</f>
        <v>12</v>
      </c>
      <c r="C30" s="44">
        <f ca="1">INDIRECT("'"&amp;$C$1&amp;"'!"&amp;ADDRESS(32,2))</f>
        <v>0</v>
      </c>
      <c r="D30" s="44">
        <f t="shared" ca="1" si="3"/>
        <v>12</v>
      </c>
      <c r="E30" s="32"/>
      <c r="F30" s="41"/>
      <c r="H30" s="20" t="str">
        <f ca="1">INDIRECT("'"&amp;$B$1&amp;"'!"&amp;ADDRESS(50,5))</f>
        <v>飲料水貯留ｼｽﾃﾑ 小計</v>
      </c>
      <c r="I30" s="21">
        <f ca="1">INDIRECT("'"&amp;$B$1&amp;"'!"&amp;ADDRESS(50,8))-INDIRECT("'"&amp;$C$1&amp;"'!"&amp;ADDRESS(50,8))</f>
        <v>0</v>
      </c>
      <c r="K30" t="str">
        <f ca="1"/>
        <v>附帯工事 小計</v>
      </c>
      <c r="L30" s="30">
        <f ca="1"/>
        <v>172500</v>
      </c>
    </row>
    <row r="31" spans="1:12" x14ac:dyDescent="0.4">
      <c r="A31" s="43" t="s">
        <v>94</v>
      </c>
      <c r="B31" s="45">
        <f ca="1">INDIRECT("'"&amp;$B$1&amp;"'!"&amp;ADDRESS(33,2))</f>
        <v>11</v>
      </c>
      <c r="C31" s="45">
        <f ca="1">INDIRECT("'"&amp;$C$1&amp;"'!"&amp;ADDRESS(33,2))</f>
        <v>0</v>
      </c>
      <c r="D31" s="45">
        <f t="shared" ca="1" si="3"/>
        <v>11</v>
      </c>
      <c r="E31" s="31"/>
      <c r="F31" s="40"/>
      <c r="H31" s="22" t="str">
        <f ca="1">INDIRECT("'"&amp;$B$1&amp;"'!"&amp;ADDRESS(51,5))</f>
        <v>電気 小計</v>
      </c>
      <c r="I31" s="23">
        <f ca="1">INDIRECT("'"&amp;$B$1&amp;"'!"&amp;ADDRESS(51,8))-INDIRECT("'"&amp;$C$1&amp;"'!"&amp;ADDRESS(51,8))</f>
        <v>1455600</v>
      </c>
      <c r="K31" t="str">
        <f ca="1"/>
        <v>別途工事 小計</v>
      </c>
      <c r="L31" s="30">
        <f ca="1"/>
        <v>1257600</v>
      </c>
    </row>
    <row r="32" spans="1:12" x14ac:dyDescent="0.4">
      <c r="A32" s="42" t="s">
        <v>95</v>
      </c>
      <c r="B32" s="44" t="e">
        <f ca="1">INDIRECT("'"&amp;$B$1&amp;"'!"&amp;ADDRESS(34,2))</f>
        <v>#N/A</v>
      </c>
      <c r="C32" s="44">
        <f ca="1">INDIRECT("'"&amp;$C$1&amp;"'!"&amp;ADDRESS(34,2))</f>
        <v>0</v>
      </c>
      <c r="D32" s="44" t="e">
        <f t="shared" ca="1" si="3"/>
        <v>#N/A</v>
      </c>
      <c r="E32" s="32"/>
      <c r="F32" s="41"/>
      <c r="H32" s="20" t="str">
        <f ca="1">INDIRECT("'"&amp;$B$1&amp;"'!"&amp;ADDRESS(52,5))</f>
        <v>TVｳｫｰﾙ 小計</v>
      </c>
      <c r="I32" s="21">
        <f ca="1">INDIRECT("'"&amp;$B$1&amp;"'!"&amp;ADDRESS(52,8))-INDIRECT("'"&amp;$C$1&amp;"'!"&amp;ADDRESS(52,8))</f>
        <v>0</v>
      </c>
      <c r="K32" t="str">
        <f ca="1"/>
        <v>特別値引き 小計</v>
      </c>
      <c r="L32" s="30">
        <f ca="1"/>
        <v>-312000</v>
      </c>
    </row>
    <row r="33" spans="1:9" x14ac:dyDescent="0.4">
      <c r="A33" s="37" t="s">
        <v>96</v>
      </c>
      <c r="B33" s="45" t="e">
        <f ca="1">INDIRECT("'"&amp;$B$1&amp;"'!"&amp;ADDRESS(35,2))</f>
        <v>#N/A</v>
      </c>
      <c r="C33" s="45">
        <f ca="1">INDIRECT("'"&amp;$C$1&amp;"'!"&amp;ADDRESS(35,2))</f>
        <v>0</v>
      </c>
      <c r="D33" s="45" t="e">
        <f t="shared" ca="1" si="3"/>
        <v>#N/A</v>
      </c>
      <c r="E33" s="31"/>
      <c r="F33" s="40"/>
      <c r="H33" s="22" t="str">
        <f ca="1">INDIRECT("'"&amp;$B$1&amp;"'!"&amp;ADDRESS(53,5))</f>
        <v>(削)ｳｫｰﾑｴｱﾘｰ 小計</v>
      </c>
      <c r="I33" s="23">
        <f ca="1">INDIRECT("'"&amp;$B$1&amp;"'!"&amp;ADDRESS(53,8))-INDIRECT("'"&amp;$C$1&amp;"'!"&amp;ADDRESS(53,8))</f>
        <v>0</v>
      </c>
    </row>
    <row r="34" spans="1:9" x14ac:dyDescent="0.4">
      <c r="A34" s="36" t="s">
        <v>97</v>
      </c>
      <c r="B34" s="44" t="e">
        <f ca="1">INDIRECT("'"&amp;$B$1&amp;"'!"&amp;ADDRESS(36,2))</f>
        <v>#N/A</v>
      </c>
      <c r="C34" s="44">
        <f ca="1">INDIRECT("'"&amp;$C$1&amp;"'!"&amp;ADDRESS(36,2))</f>
        <v>0</v>
      </c>
      <c r="D34" s="44" t="e">
        <f t="shared" ca="1" si="3"/>
        <v>#N/A</v>
      </c>
      <c r="E34" s="32"/>
      <c r="F34" s="41"/>
      <c r="H34" s="20" t="str">
        <f ca="1">INDIRECT("'"&amp;$B$1&amp;"'!"&amp;ADDRESS(54,5))</f>
        <v>(廃)ｳｫｰﾑﾌｧｸﾄﾘｰ 小計</v>
      </c>
      <c r="I34" s="21">
        <f ca="1">INDIRECT("'"&amp;$B$1&amp;"'!"&amp;ADDRESS(54,8))-INDIRECT("'"&amp;$C$1&amp;"'!"&amp;ADDRESS(54,8))</f>
        <v>0</v>
      </c>
    </row>
    <row r="35" spans="1:9" x14ac:dyDescent="0.4">
      <c r="A35" s="37" t="s">
        <v>98</v>
      </c>
      <c r="B35" s="45" t="str">
        <f ca="1">INDIRECT("'"&amp;$B$1&amp;"'!"&amp;ADDRESS(37,2))</f>
        <v>無</v>
      </c>
      <c r="C35" s="45">
        <f ca="1">INDIRECT("'"&amp;$C$1&amp;"'!"&amp;ADDRESS(37,2))</f>
        <v>0</v>
      </c>
      <c r="D35" s="45"/>
      <c r="E35" s="31"/>
      <c r="F35" s="40"/>
      <c r="H35" s="22" t="str">
        <f ca="1">INDIRECT("'"&amp;$B$1&amp;"'!"&amp;ADDRESS(55,5))</f>
        <v>ｳｫｰﾑﾌｧｸﾄﾘｰ 小計</v>
      </c>
      <c r="I35" s="23">
        <f ca="1">INDIRECT("'"&amp;$B$1&amp;"'!"&amp;ADDRESS(55,8))-INDIRECT("'"&amp;$C$1&amp;"'!"&amp;ADDRESS(55,8))</f>
        <v>0</v>
      </c>
    </row>
    <row r="36" spans="1:9" x14ac:dyDescent="0.4">
      <c r="A36" s="36" t="s">
        <v>99</v>
      </c>
      <c r="B36" s="44" t="str">
        <f ca="1">INDIRECT("'"&amp;$B$1&amp;"'!"&amp;ADDRESS(38,2))</f>
        <v>無</v>
      </c>
      <c r="C36" s="44">
        <f ca="1">INDIRECT("'"&amp;$C$1&amp;"'!"&amp;ADDRESS(38,2))</f>
        <v>0</v>
      </c>
      <c r="D36" s="44"/>
      <c r="E36" s="32"/>
      <c r="F36" s="41"/>
      <c r="H36" s="20" t="str">
        <f ca="1">INDIRECT("'"&amp;$B$1&amp;"'!"&amp;ADDRESS(56,5))</f>
        <v>ｴｱｰﾌｧｸﾄﾘｰ 小計</v>
      </c>
      <c r="I36" s="21">
        <f ca="1">INDIRECT("'"&amp;$B$1&amp;"'!"&amp;ADDRESS(56,8))-INDIRECT("'"&amp;$C$1&amp;"'!"&amp;ADDRESS(56,8))</f>
        <v>292000</v>
      </c>
    </row>
    <row r="37" spans="1:9" x14ac:dyDescent="0.4">
      <c r="A37" s="37" t="s">
        <v>100</v>
      </c>
      <c r="B37" s="45" t="str">
        <f ca="1">INDIRECT("'"&amp;$B$1&amp;"'!"&amp;ADDRESS(39,2))</f>
        <v>有</v>
      </c>
      <c r="C37" s="45">
        <f ca="1">INDIRECT("'"&amp;$C$1&amp;"'!"&amp;ADDRESS(39,2))</f>
        <v>0</v>
      </c>
      <c r="D37" s="45"/>
      <c r="E37" s="31"/>
      <c r="F37" s="40"/>
      <c r="H37" s="22" t="str">
        <f ca="1">INDIRECT("'"&amp;$B$1&amp;"'!"&amp;ADDRESS(57,5))</f>
        <v>快適ｴｱﾘｰ 小計</v>
      </c>
      <c r="I37" s="23">
        <f ca="1">INDIRECT("'"&amp;$B$1&amp;"'!"&amp;ADDRESS(57,8))-INDIRECT("'"&amp;$C$1&amp;"'!"&amp;ADDRESS(57,8))</f>
        <v>761100</v>
      </c>
    </row>
    <row r="38" spans="1:9" x14ac:dyDescent="0.4">
      <c r="A38" s="33" t="s">
        <v>101</v>
      </c>
      <c r="B38" s="48" t="str">
        <f ca="1">INDIRECT("'"&amp;$B$1&amp;"'!"&amp;ADDRESS(40,2))</f>
        <v>無</v>
      </c>
      <c r="C38" s="48">
        <f ca="1">INDIRECT("'"&amp;$C$1&amp;"'!"&amp;ADDRESS(40,2))</f>
        <v>0</v>
      </c>
      <c r="D38" s="48"/>
      <c r="E38" s="34"/>
      <c r="F38" s="35"/>
      <c r="H38" s="20" t="str">
        <f ca="1">INDIRECT("'"&amp;$B$1&amp;"'!"&amp;ADDRESS(58,5))</f>
        <v>加湿ｼｽﾃﾑ 小計</v>
      </c>
      <c r="I38" s="21">
        <f ca="1">INDIRECT("'"&amp;$B$1&amp;"'!"&amp;ADDRESS(58,8))-INDIRECT("'"&amp;$C$1&amp;"'!"&amp;ADDRESS(58,8))</f>
        <v>0</v>
      </c>
    </row>
    <row r="39" spans="1:9" x14ac:dyDescent="0.4">
      <c r="H39" s="22" t="str">
        <f ca="1">INDIRECT("'"&amp;$B$1&amp;"'!"&amp;ADDRESS(59,5))</f>
        <v>天井埋込空気清浄機 小計</v>
      </c>
      <c r="I39" s="23">
        <f ca="1">INDIRECT("'"&amp;$B$1&amp;"'!"&amp;ADDRESS(59,8))-INDIRECT("'"&amp;$C$1&amp;"'!"&amp;ADDRESS(59,8))</f>
        <v>0</v>
      </c>
    </row>
    <row r="40" spans="1:9" x14ac:dyDescent="0.4">
      <c r="H40" s="20" t="str">
        <f ca="1">INDIRECT("'"&amp;$B$1&amp;"'!"&amp;ADDRESS(60,5))</f>
        <v>太陽光発電 小計</v>
      </c>
      <c r="I40" s="21">
        <f ca="1">INDIRECT("'"&amp;$B$1&amp;"'!"&amp;ADDRESS(60,8))-INDIRECT("'"&amp;$C$1&amp;"'!"&amp;ADDRESS(60,8))</f>
        <v>0</v>
      </c>
    </row>
    <row r="41" spans="1:9" x14ac:dyDescent="0.4">
      <c r="H41" s="22" t="str">
        <f ca="1">INDIRECT("'"&amp;$B$1&amp;"'!"&amp;ADDRESS(61,5))</f>
        <v>太陽光共通 小計</v>
      </c>
      <c r="I41" s="23">
        <f ca="1">INDIRECT("'"&amp;$B$1&amp;"'!"&amp;ADDRESS(61,8))-INDIRECT("'"&amp;$C$1&amp;"'!"&amp;ADDRESS(61,8))</f>
        <v>0</v>
      </c>
    </row>
    <row r="42" spans="1:9" x14ac:dyDescent="0.4">
      <c r="H42" s="20" t="str">
        <f ca="1">INDIRECT("'"&amp;$B$1&amp;"'!"&amp;ADDRESS(62,5))</f>
        <v>ｽﾏｰﾄﾊｲﾑﾅﾋﾞ 小計</v>
      </c>
      <c r="I42" s="21">
        <f ca="1">INDIRECT("'"&amp;$B$1&amp;"'!"&amp;ADDRESS(62,8))-INDIRECT("'"&amp;$C$1&amp;"'!"&amp;ADDRESS(62,8))</f>
        <v>0</v>
      </c>
    </row>
    <row r="43" spans="1:9" x14ac:dyDescent="0.4">
      <c r="H43" s="22" t="str">
        <f ca="1">INDIRECT("'"&amp;$B$1&amp;"'!"&amp;ADDRESS(63,5))</f>
        <v>蓄電池 小計</v>
      </c>
      <c r="I43" s="23">
        <f ca="1">INDIRECT("'"&amp;$B$1&amp;"'!"&amp;ADDRESS(63,8))-INDIRECT("'"&amp;$C$1&amp;"'!"&amp;ADDRESS(63,8))</f>
        <v>0</v>
      </c>
    </row>
    <row r="44" spans="1:9" x14ac:dyDescent="0.4">
      <c r="H44" s="20" t="str">
        <f ca="1">INDIRECT("'"&amp;$B$1&amp;"'!"&amp;ADDRESS(64,5))</f>
        <v>ｽﾏｰﾄﾊｲﾑ特別減額 小計</v>
      </c>
      <c r="I44" s="21">
        <f ca="1">INDIRECT("'"&amp;$B$1&amp;"'!"&amp;ADDRESS(64,8))-INDIRECT("'"&amp;$C$1&amp;"'!"&amp;ADDRESS(64,8))</f>
        <v>0</v>
      </c>
    </row>
    <row r="45" spans="1:9" x14ac:dyDescent="0.4">
      <c r="H45" s="22" t="str">
        <f ca="1">INDIRECT("'"&amp;$B$1&amp;"'!"&amp;ADDRESS(65,5))</f>
        <v>(廃)ｽﾏｰﾄﾊｲﾑﾓﾆﾀｰ 小計</v>
      </c>
      <c r="I45" s="23">
        <f ca="1">INDIRECT("'"&amp;$B$1&amp;"'!"&amp;ADDRESS(65,8))-INDIRECT("'"&amp;$C$1&amp;"'!"&amp;ADDRESS(65,8))</f>
        <v>0</v>
      </c>
    </row>
    <row r="46" spans="1:9" x14ac:dyDescent="0.4">
      <c r="H46" s="20" t="str">
        <f ca="1">INDIRECT("'"&amp;$B$1&amp;"'!"&amp;ADDRESS(66,5))</f>
        <v>基礎工事費 小計</v>
      </c>
      <c r="I46" s="21">
        <f ca="1">INDIRECT("'"&amp;$B$1&amp;"'!"&amp;ADDRESS(66,8))-INDIRECT("'"&amp;$C$1&amp;"'!"&amp;ADDRESS(66,8))</f>
        <v>2106680</v>
      </c>
    </row>
    <row r="47" spans="1:9" x14ac:dyDescent="0.4">
      <c r="H47" s="22" t="str">
        <f ca="1">INDIRECT("'"&amp;$B$1&amp;"'!"&amp;ADDRESS(67,5))</f>
        <v>(削)基礎工事費(旧仕様) 小計</v>
      </c>
      <c r="I47" s="23">
        <f ca="1">INDIRECT("'"&amp;$B$1&amp;"'!"&amp;ADDRESS(67,8))-INDIRECT("'"&amp;$C$1&amp;"'!"&amp;ADDRESS(67,8))</f>
        <v>0</v>
      </c>
    </row>
    <row r="48" spans="1:9" x14ac:dyDescent="0.4">
      <c r="H48" s="20" t="str">
        <f ca="1">INDIRECT("'"&amp;$B$1&amp;"'!"&amp;ADDRESS(68,5))</f>
        <v>据付大工工事費その他 小計</v>
      </c>
      <c r="I48" s="21">
        <f ca="1">INDIRECT("'"&amp;$B$1&amp;"'!"&amp;ADDRESS(68,8))-INDIRECT("'"&amp;$C$1&amp;"'!"&amp;ADDRESS(68,8))</f>
        <v>1093700</v>
      </c>
    </row>
    <row r="49" spans="8:9" x14ac:dyDescent="0.4">
      <c r="H49" s="22" t="str">
        <f ca="1">INDIRECT("'"&amp;$B$1&amp;"'!"&amp;ADDRESS(69,5))</f>
        <v>共通本体工事 小計</v>
      </c>
      <c r="I49" s="23">
        <f ca="1">INDIRECT("'"&amp;$B$1&amp;"'!"&amp;ADDRESS(69,8))-INDIRECT("'"&amp;$C$1&amp;"'!"&amp;ADDRESS(69,8))</f>
        <v>225900</v>
      </c>
    </row>
    <row r="50" spans="8:9" x14ac:dyDescent="0.4">
      <c r="H50" s="20" t="str">
        <f ca="1">INDIRECT("'"&amp;$B$1&amp;"'!"&amp;ADDRESS(70,5))</f>
        <v>共通基礎工事 小計</v>
      </c>
      <c r="I50" s="21">
        <f ca="1">INDIRECT("'"&amp;$B$1&amp;"'!"&amp;ADDRESS(70,8))-INDIRECT("'"&amp;$C$1&amp;"'!"&amp;ADDRESS(70,8))</f>
        <v>798100</v>
      </c>
    </row>
    <row r="51" spans="8:9" x14ac:dyDescent="0.4">
      <c r="H51" s="22" t="str">
        <f ca="1">INDIRECT("'"&amp;$B$1&amp;"'!"&amp;ADDRESS(71,5))</f>
        <v>共通据付工事 小計</v>
      </c>
      <c r="I51" s="23">
        <f ca="1">INDIRECT("'"&amp;$B$1&amp;"'!"&amp;ADDRESS(71,8))-INDIRECT("'"&amp;$C$1&amp;"'!"&amp;ADDRESS(71,8))</f>
        <v>480000</v>
      </c>
    </row>
    <row r="52" spans="8:9" x14ac:dyDescent="0.4">
      <c r="H52" s="20" t="str">
        <f ca="1">INDIRECT("'"&amp;$B$1&amp;"'!"&amp;ADDRESS(72,5))</f>
        <v>仮設工事 小計</v>
      </c>
      <c r="I52" s="21">
        <f ca="1">INDIRECT("'"&amp;$B$1&amp;"'!"&amp;ADDRESS(72,8))-INDIRECT("'"&amp;$C$1&amp;"'!"&amp;ADDRESS(72,8))</f>
        <v>195000</v>
      </c>
    </row>
    <row r="53" spans="8:9" x14ac:dyDescent="0.4">
      <c r="H53" s="22" t="str">
        <f ca="1">INDIRECT("'"&amp;$B$1&amp;"'!"&amp;ADDRESS(73,5))</f>
        <v>用地整備 小計</v>
      </c>
      <c r="I53" s="23">
        <f ca="1">INDIRECT("'"&amp;$B$1&amp;"'!"&amp;ADDRESS(73,8))-INDIRECT("'"&amp;$C$1&amp;"'!"&amp;ADDRESS(73,8))</f>
        <v>200000</v>
      </c>
    </row>
    <row r="54" spans="8:9" x14ac:dyDescent="0.4">
      <c r="H54" s="20" t="str">
        <f ca="1">INDIRECT("'"&amp;$B$1&amp;"'!"&amp;ADDRESS(74,5))</f>
        <v>その他経費 小計</v>
      </c>
      <c r="I54" s="21">
        <f ca="1">INDIRECT("'"&amp;$B$1&amp;"'!"&amp;ADDRESS(74,8))-INDIRECT("'"&amp;$C$1&amp;"'!"&amp;ADDRESS(74,8))</f>
        <v>1620800</v>
      </c>
    </row>
    <row r="55" spans="8:9" x14ac:dyDescent="0.4">
      <c r="H55" s="22" t="str">
        <f ca="1">INDIRECT("'"&amp;$B$1&amp;"'!"&amp;ADDRESS(75,5))</f>
        <v>申請料 棟 小計</v>
      </c>
      <c r="I55" s="23">
        <f ca="1">INDIRECT("'"&amp;$B$1&amp;"'!"&amp;ADDRESS(75,8))-INDIRECT("'"&amp;$C$1&amp;"'!"&amp;ADDRESS(75,8))</f>
        <v>245000</v>
      </c>
    </row>
    <row r="56" spans="8:9" x14ac:dyDescent="0.4">
      <c r="H56" s="20" t="str">
        <f ca="1">INDIRECT("'"&amp;$B$1&amp;"'!"&amp;ADDRESS(76,5))</f>
        <v>申請手数料 小計</v>
      </c>
      <c r="I56" s="21">
        <f ca="1">INDIRECT("'"&amp;$B$1&amp;"'!"&amp;ADDRESS(76,8))-INDIRECT("'"&amp;$C$1&amp;"'!"&amp;ADDRESS(76,8))</f>
        <v>0</v>
      </c>
    </row>
    <row r="57" spans="8:9" x14ac:dyDescent="0.4">
      <c r="H57" s="22" t="str">
        <f ca="1">INDIRECT("'"&amp;$B$1&amp;"'!"&amp;ADDRESS(77,5))</f>
        <v>附帯工事 小計</v>
      </c>
      <c r="I57" s="23">
        <f ca="1">INDIRECT("'"&amp;$B$1&amp;"'!"&amp;ADDRESS(77,8))-INDIRECT("'"&amp;$C$1&amp;"'!"&amp;ADDRESS(77,8))</f>
        <v>172500</v>
      </c>
    </row>
    <row r="58" spans="8:9" x14ac:dyDescent="0.4">
      <c r="H58" s="20" t="str">
        <f ca="1">INDIRECT("'"&amp;$B$1&amp;"'!"&amp;ADDRESS(78,5))</f>
        <v>別途工事 小計</v>
      </c>
      <c r="I58" s="21">
        <f ca="1">INDIRECT("'"&amp;$B$1&amp;"'!"&amp;ADDRESS(78,8))-INDIRECT("'"&amp;$C$1&amp;"'!"&amp;ADDRESS(78,8))</f>
        <v>1257600</v>
      </c>
    </row>
    <row r="59" spans="8:9" x14ac:dyDescent="0.4">
      <c r="H59" s="22" t="str">
        <f ca="1">INDIRECT("'"&amp;$B$1&amp;"'!"&amp;ADDRESS(79,5))</f>
        <v>平屋ｼﾘｰｽﾞ減額 小計</v>
      </c>
      <c r="I59" s="23">
        <f ca="1">INDIRECT("'"&amp;$B$1&amp;"'!"&amp;ADDRESS(79,8))-INDIRECT("'"&amp;$C$1&amp;"'!"&amp;ADDRESS(79,8))</f>
        <v>0</v>
      </c>
    </row>
    <row r="60" spans="8:9" x14ac:dyDescent="0.4">
      <c r="H60" s="20" t="str">
        <f ca="1">INDIRECT("'"&amp;$B$1&amp;"'!"&amp;ADDRESS(80,5))</f>
        <v>特別値引き 小計</v>
      </c>
      <c r="I60" s="21">
        <f ca="1">INDIRECT("'"&amp;$B$1&amp;"'!"&amp;ADDRESS(80,8))-INDIRECT("'"&amp;$C$1&amp;"'!"&amp;ADDRESS(80,8))</f>
        <v>-312000</v>
      </c>
    </row>
    <row r="61" spans="8:9" x14ac:dyDescent="0.4">
      <c r="H61" s="22">
        <f ca="1">INDIRECT("'"&amp;$B$1&amp;"'!"&amp;ADDRESS(81,5))</f>
        <v>0</v>
      </c>
      <c r="I61" s="23">
        <f ca="1">INDIRECT("'"&amp;$B$1&amp;"'!"&amp;ADDRESS(81,8))-INDIRECT("'"&amp;$C$1&amp;"'!"&amp;ADDRESS(81,8))</f>
        <v>0</v>
      </c>
    </row>
    <row r="62" spans="8:9" x14ac:dyDescent="0.4">
      <c r="H62" s="20">
        <f ca="1">INDIRECT("'"&amp;$B$1&amp;"'!"&amp;ADDRESS(82,5))</f>
        <v>0</v>
      </c>
      <c r="I62" s="21">
        <f ca="1">INDIRECT("'"&amp;$B$1&amp;"'!"&amp;ADDRESS(82,8))-INDIRECT("'"&amp;$C$1&amp;"'!"&amp;ADDRESS(82,8))</f>
        <v>0</v>
      </c>
    </row>
    <row r="63" spans="8:9" x14ac:dyDescent="0.4">
      <c r="H63" s="24">
        <f ca="1">INDIRECT("'"&amp;$B$1&amp;"'!"&amp;ADDRESS(83,5))</f>
        <v>0</v>
      </c>
      <c r="I63" s="25">
        <f ca="1">INDIRECT("'"&amp;$B$1&amp;"'!"&amp;ADDRESS(83,8))-INDIRECT("'"&amp;$C$1&amp;"'!"&amp;ADDRESS(83,8))</f>
        <v>0</v>
      </c>
    </row>
    <row r="100" spans="1:2" x14ac:dyDescent="0.4">
      <c r="B100" t="s">
        <v>148</v>
      </c>
    </row>
    <row r="101" spans="1:2" x14ac:dyDescent="0.4">
      <c r="A101" t="s">
        <v>147</v>
      </c>
      <c r="B101" t="s">
        <v>148</v>
      </c>
    </row>
    <row r="102" spans="1:2" x14ac:dyDescent="0.4">
      <c r="A102" t="s">
        <v>149</v>
      </c>
      <c r="B102" t="s">
        <v>148</v>
      </c>
    </row>
    <row r="103" spans="1:2" x14ac:dyDescent="0.4">
      <c r="A103" t="s">
        <v>150</v>
      </c>
      <c r="B103" t="s">
        <v>148</v>
      </c>
    </row>
    <row r="104" spans="1:2" x14ac:dyDescent="0.4">
      <c r="A104" t="s">
        <v>151</v>
      </c>
      <c r="B104" t="s">
        <v>148</v>
      </c>
    </row>
    <row r="105" spans="1:2" x14ac:dyDescent="0.4">
      <c r="A105" t="s">
        <v>152</v>
      </c>
      <c r="B105">
        <v>1049500</v>
      </c>
    </row>
    <row r="106" spans="1:2" x14ac:dyDescent="0.4">
      <c r="A106" t="s">
        <v>73</v>
      </c>
      <c r="B106">
        <v>625358</v>
      </c>
    </row>
    <row r="107" spans="1:2" x14ac:dyDescent="0.4">
      <c r="A107" t="s">
        <v>74</v>
      </c>
      <c r="B107">
        <v>1072000</v>
      </c>
    </row>
    <row r="108" spans="1:2" x14ac:dyDescent="0.4">
      <c r="A108" t="s">
        <v>76</v>
      </c>
      <c r="B108">
        <v>1487275</v>
      </c>
    </row>
    <row r="109" spans="1:2" x14ac:dyDescent="0.4">
      <c r="A109" t="s">
        <v>77</v>
      </c>
      <c r="B109">
        <v>213000</v>
      </c>
    </row>
    <row r="110" spans="1:2" x14ac:dyDescent="0.4">
      <c r="A110" t="s">
        <v>153</v>
      </c>
    </row>
  </sheetData>
  <phoneticPr fontId="1"/>
  <conditionalFormatting sqref="H2:H63">
    <cfRule type="expression" dxfId="11" priority="2">
      <formula>LEN(TRIM(H2))=0</formula>
    </cfRule>
  </conditionalFormatting>
  <conditionalFormatting sqref="C2:C38">
    <cfRule type="expression" dxfId="10" priority="1">
      <formula>$B2&lt;&gt;$C2</formula>
    </cfRule>
  </conditionalFormatting>
  <dataValidations count="1">
    <dataValidation type="list" allowBlank="1" showInputMessage="1" showErrorMessage="1" sqref="D1:E1" xr:uid="{1CDB873E-D5AB-4584-86F3-B8D6D85956AE}">
      <formula1>$N$2:$N$11</formula1>
    </dataValidation>
  </dataValidations>
  <pageMargins left="0.7" right="0.7" top="0.75" bottom="0.75" header="0.3" footer="0.3"/>
  <pageSetup paperSize="9" scale="73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6E59E7-A047-4F6D-88BA-6BAA5E0264AB}">
          <x14:formula1>
            <xm:f>OFFSET(クリア!$CA$1,0,0,COUNTA(クリア!$CA:$CA),1)</xm:f>
          </x14:formula1>
          <xm:sqref>B1:C1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26C8-BE0C-49CF-A688-F3D6EBD447D8}">
  <sheetPr codeName="Sheet9"/>
  <dimension ref="A1:AM739"/>
  <sheetViews>
    <sheetView workbookViewId="0">
      <pane ySplit="1" topLeftCell="A2" activePane="bottomLeft" state="frozen"/>
      <selection pane="bottomLeft" activeCell="Z11" sqref="Z11"/>
    </sheetView>
  </sheetViews>
  <sheetFormatPr defaultRowHeight="18.75" x14ac:dyDescent="0.4"/>
  <cols>
    <col min="1" max="1" width="15.125" bestFit="1" customWidth="1"/>
    <col min="2" max="2" width="40" style="10" bestFit="1" customWidth="1"/>
    <col min="4" max="4" width="2.625" customWidth="1"/>
    <col min="5" max="5" width="21.375" bestFit="1" customWidth="1"/>
    <col min="6" max="7" width="15.25" style="49" bestFit="1" customWidth="1"/>
    <col min="8" max="8" width="13.25" style="49" bestFit="1" customWidth="1"/>
    <col min="9" max="11" width="2.625" customWidth="1"/>
    <col min="12" max="12" width="40.625" customWidth="1"/>
    <col min="13" max="13" width="11.25" bestFit="1" customWidth="1"/>
    <col min="14" max="14" width="7.5" bestFit="1" customWidth="1"/>
    <col min="15" max="15" width="13.25" style="49" bestFit="1" customWidth="1"/>
    <col min="16" max="19" width="11.25" bestFit="1" customWidth="1"/>
    <col min="20" max="23" width="8.625" customWidth="1"/>
    <col min="25" max="25" width="31.125" bestFit="1" customWidth="1"/>
    <col min="26" max="26" width="9.5" bestFit="1" customWidth="1"/>
    <col min="27" max="27" width="17.375" bestFit="1" customWidth="1"/>
    <col min="28" max="28" width="12.625" bestFit="1" customWidth="1"/>
  </cols>
  <sheetData>
    <row r="1" spans="1:28" x14ac:dyDescent="0.4">
      <c r="A1" s="56" t="s">
        <v>277</v>
      </c>
      <c r="B1" s="59" t="s">
        <v>743</v>
      </c>
      <c r="C1" s="56" t="s">
        <v>782</v>
      </c>
      <c r="D1" s="56"/>
      <c r="E1" s="56" t="s">
        <v>277</v>
      </c>
      <c r="F1" s="57" t="s">
        <v>278</v>
      </c>
      <c r="G1" s="57" t="s">
        <v>279</v>
      </c>
      <c r="H1" s="57" t="s">
        <v>280</v>
      </c>
      <c r="I1" s="56"/>
      <c r="J1" s="56" t="s">
        <v>309</v>
      </c>
      <c r="K1" s="56" t="s">
        <v>334</v>
      </c>
      <c r="L1" s="56" t="s">
        <v>335</v>
      </c>
      <c r="M1" s="56" t="s">
        <v>336</v>
      </c>
      <c r="N1" s="56" t="s">
        <v>337</v>
      </c>
      <c r="O1" s="49" t="s">
        <v>338</v>
      </c>
      <c r="P1" t="s">
        <v>339</v>
      </c>
      <c r="Q1" t="s">
        <v>340</v>
      </c>
      <c r="R1" t="s">
        <v>341</v>
      </c>
      <c r="S1" t="s">
        <v>342</v>
      </c>
      <c r="T1" t="s">
        <v>343</v>
      </c>
      <c r="U1" t="s">
        <v>344</v>
      </c>
      <c r="V1" t="s">
        <v>345</v>
      </c>
      <c r="W1" t="s">
        <v>346</v>
      </c>
      <c r="Y1" t="s">
        <v>786</v>
      </c>
      <c r="Z1" s="49" t="s">
        <v>308</v>
      </c>
      <c r="AA1" s="49" t="s">
        <v>789</v>
      </c>
      <c r="AB1" s="49" t="s">
        <v>999</v>
      </c>
    </row>
    <row r="2" spans="1:28" x14ac:dyDescent="0.4">
      <c r="A2" s="56" t="s">
        <v>293</v>
      </c>
      <c r="B2" s="59" t="s">
        <v>855</v>
      </c>
      <c r="C2" s="56"/>
      <c r="D2" s="56"/>
      <c r="E2" s="56" t="s">
        <v>281</v>
      </c>
      <c r="F2" s="57">
        <v>7185320</v>
      </c>
      <c r="G2" s="57">
        <v>3061100</v>
      </c>
      <c r="H2" s="57">
        <v>10246420</v>
      </c>
      <c r="J2" t="s">
        <v>73</v>
      </c>
      <c r="Y2" t="s">
        <v>125</v>
      </c>
      <c r="Z2" s="49">
        <v>2747000</v>
      </c>
      <c r="AA2" s="49">
        <v>1982000</v>
      </c>
      <c r="AB2" s="49">
        <f t="shared" ref="AB2:AB11" si="0">$AA2-AB$1</f>
        <v>-1371900</v>
      </c>
    </row>
    <row r="3" spans="1:28" x14ac:dyDescent="0.4">
      <c r="A3" s="56" t="s">
        <v>294</v>
      </c>
      <c r="B3" s="10" t="s">
        <v>295</v>
      </c>
      <c r="E3" s="56" t="s">
        <v>282</v>
      </c>
      <c r="F3" s="57">
        <v>5311900</v>
      </c>
      <c r="G3" s="57">
        <v>503025</v>
      </c>
      <c r="H3" s="57">
        <v>5814925</v>
      </c>
      <c r="K3" t="s">
        <v>347</v>
      </c>
      <c r="Y3" t="s">
        <v>126</v>
      </c>
      <c r="Z3" s="49">
        <v>2757600</v>
      </c>
      <c r="AA3" s="49">
        <v>1992600</v>
      </c>
      <c r="AB3" s="49">
        <f t="shared" si="0"/>
        <v>-1361300</v>
      </c>
    </row>
    <row r="4" spans="1:28" x14ac:dyDescent="0.4">
      <c r="A4" s="56" t="s">
        <v>296</v>
      </c>
      <c r="B4" s="59" t="s">
        <v>297</v>
      </c>
      <c r="C4" s="56"/>
      <c r="E4" s="56" t="s">
        <v>283</v>
      </c>
      <c r="F4" s="57">
        <v>3118000</v>
      </c>
      <c r="G4" s="57">
        <v>1120510</v>
      </c>
      <c r="H4" s="57">
        <v>4238510</v>
      </c>
      <c r="L4" t="s">
        <v>348</v>
      </c>
      <c r="Y4" t="s">
        <v>127</v>
      </c>
      <c r="Z4" s="49">
        <v>2765200</v>
      </c>
      <c r="AA4" s="49">
        <v>2000200</v>
      </c>
      <c r="AB4" s="49">
        <f t="shared" si="0"/>
        <v>-1353700</v>
      </c>
    </row>
    <row r="5" spans="1:28" x14ac:dyDescent="0.4">
      <c r="A5" s="56" t="s">
        <v>298</v>
      </c>
      <c r="B5" s="59" t="s">
        <v>299</v>
      </c>
      <c r="C5" s="56"/>
      <c r="E5" s="56" t="s">
        <v>284</v>
      </c>
      <c r="F5" s="57">
        <v>4586100</v>
      </c>
      <c r="G5" s="57">
        <v>2886216</v>
      </c>
      <c r="H5" s="57">
        <v>7472316</v>
      </c>
      <c r="L5" t="s">
        <v>349</v>
      </c>
      <c r="M5">
        <v>105.5</v>
      </c>
      <c r="N5">
        <v>45</v>
      </c>
      <c r="O5" s="49">
        <v>4747500</v>
      </c>
      <c r="P5">
        <v>105.5</v>
      </c>
      <c r="Q5">
        <v>4747.5</v>
      </c>
      <c r="R5">
        <v>0</v>
      </c>
      <c r="S5">
        <v>0</v>
      </c>
      <c r="T5">
        <v>105.5</v>
      </c>
      <c r="U5">
        <v>4747.5</v>
      </c>
      <c r="V5">
        <v>0</v>
      </c>
      <c r="W5">
        <v>0</v>
      </c>
      <c r="Y5" t="s">
        <v>129</v>
      </c>
      <c r="Z5" s="49">
        <v>2796600</v>
      </c>
      <c r="AA5" s="49">
        <v>2031600</v>
      </c>
      <c r="AB5" s="49">
        <f t="shared" si="0"/>
        <v>-1322300</v>
      </c>
    </row>
    <row r="6" spans="1:28" x14ac:dyDescent="0.4">
      <c r="A6" s="56" t="s">
        <v>270</v>
      </c>
      <c r="B6" s="59" t="s">
        <v>850</v>
      </c>
      <c r="C6" s="56"/>
      <c r="D6" s="56"/>
      <c r="E6" s="56" t="s">
        <v>285</v>
      </c>
      <c r="F6" s="57">
        <v>31000</v>
      </c>
      <c r="G6" s="57">
        <v>2075680</v>
      </c>
      <c r="H6" s="57">
        <v>2106680</v>
      </c>
      <c r="L6" t="s">
        <v>350</v>
      </c>
      <c r="M6">
        <v>55</v>
      </c>
      <c r="N6">
        <v>11</v>
      </c>
      <c r="O6" s="49">
        <v>605000</v>
      </c>
      <c r="P6">
        <v>55</v>
      </c>
      <c r="Q6">
        <v>605</v>
      </c>
      <c r="R6">
        <v>0</v>
      </c>
      <c r="S6">
        <v>0</v>
      </c>
      <c r="T6">
        <v>55</v>
      </c>
      <c r="U6">
        <v>605</v>
      </c>
      <c r="V6">
        <v>0</v>
      </c>
      <c r="W6">
        <v>0</v>
      </c>
      <c r="Y6" t="s">
        <v>121</v>
      </c>
      <c r="Z6" s="49">
        <v>2911800</v>
      </c>
      <c r="AA6" s="49">
        <v>2146800</v>
      </c>
      <c r="AB6" s="49">
        <f t="shared" si="0"/>
        <v>-1207100</v>
      </c>
    </row>
    <row r="7" spans="1:28" x14ac:dyDescent="0.4">
      <c r="A7" s="56" t="s">
        <v>300</v>
      </c>
      <c r="B7" s="59" t="s">
        <v>271</v>
      </c>
      <c r="C7" s="56"/>
      <c r="D7" s="56"/>
      <c r="E7" s="56" t="s">
        <v>286</v>
      </c>
      <c r="F7" s="57">
        <v>17400</v>
      </c>
      <c r="G7" s="57">
        <v>1076300</v>
      </c>
      <c r="H7" s="57">
        <v>1093700</v>
      </c>
      <c r="L7" t="s">
        <v>351</v>
      </c>
      <c r="M7">
        <v>100</v>
      </c>
      <c r="N7">
        <v>1</v>
      </c>
      <c r="O7" s="49">
        <v>100000</v>
      </c>
      <c r="P7">
        <v>100</v>
      </c>
      <c r="Q7">
        <v>100</v>
      </c>
      <c r="R7">
        <v>0</v>
      </c>
      <c r="S7">
        <v>0</v>
      </c>
      <c r="T7">
        <v>100</v>
      </c>
      <c r="U7">
        <v>100</v>
      </c>
      <c r="V7">
        <v>0</v>
      </c>
      <c r="W7">
        <v>0</v>
      </c>
      <c r="Y7" t="s">
        <v>123</v>
      </c>
      <c r="Z7" s="49">
        <v>2943200</v>
      </c>
      <c r="AA7" s="49">
        <v>2178200</v>
      </c>
      <c r="AB7" s="49">
        <f t="shared" si="0"/>
        <v>-1175700</v>
      </c>
    </row>
    <row r="8" spans="1:28" x14ac:dyDescent="0.4">
      <c r="A8" t="s">
        <v>272</v>
      </c>
      <c r="B8" s="10" t="s">
        <v>851</v>
      </c>
      <c r="E8" s="56" t="s">
        <v>287</v>
      </c>
      <c r="F8" s="57">
        <v>0</v>
      </c>
      <c r="G8" s="57">
        <v>1899000</v>
      </c>
      <c r="H8" s="57">
        <v>1899000</v>
      </c>
      <c r="L8" t="s">
        <v>352</v>
      </c>
      <c r="M8">
        <v>-1</v>
      </c>
      <c r="N8">
        <v>25</v>
      </c>
      <c r="O8" s="49">
        <v>-25000</v>
      </c>
      <c r="P8">
        <v>-1</v>
      </c>
      <c r="Q8">
        <v>-25</v>
      </c>
      <c r="R8">
        <v>0</v>
      </c>
      <c r="S8">
        <v>0</v>
      </c>
      <c r="T8">
        <v>-1</v>
      </c>
      <c r="U8">
        <v>-25</v>
      </c>
      <c r="V8">
        <v>0</v>
      </c>
      <c r="W8">
        <v>0</v>
      </c>
      <c r="Y8" t="s">
        <v>783</v>
      </c>
      <c r="Z8" s="49">
        <v>3173800</v>
      </c>
      <c r="AA8" s="49">
        <v>2408800</v>
      </c>
      <c r="AB8" s="49">
        <f t="shared" si="0"/>
        <v>-945100</v>
      </c>
    </row>
    <row r="9" spans="1:28" x14ac:dyDescent="0.4">
      <c r="A9" t="s">
        <v>273</v>
      </c>
      <c r="B9" s="10" t="s">
        <v>275</v>
      </c>
      <c r="E9" s="56" t="s">
        <v>288</v>
      </c>
      <c r="F9" s="57">
        <v>0</v>
      </c>
      <c r="G9" s="57">
        <v>3295900</v>
      </c>
      <c r="H9" s="57">
        <v>3295900</v>
      </c>
      <c r="L9" t="s">
        <v>829</v>
      </c>
      <c r="M9">
        <v>6</v>
      </c>
      <c r="N9">
        <v>1</v>
      </c>
      <c r="O9" s="49">
        <v>6000</v>
      </c>
      <c r="P9">
        <v>6</v>
      </c>
      <c r="Q9">
        <v>6</v>
      </c>
      <c r="R9">
        <v>0</v>
      </c>
      <c r="S9">
        <v>0</v>
      </c>
      <c r="T9">
        <v>6</v>
      </c>
      <c r="U9">
        <v>6</v>
      </c>
      <c r="V9">
        <v>0</v>
      </c>
      <c r="W9">
        <v>0</v>
      </c>
      <c r="Y9" t="s">
        <v>111</v>
      </c>
      <c r="Z9" s="49">
        <v>3668900</v>
      </c>
      <c r="AA9" s="49">
        <v>3353900</v>
      </c>
      <c r="AB9" s="49">
        <f t="shared" si="0"/>
        <v>0</v>
      </c>
    </row>
    <row r="10" spans="1:28" x14ac:dyDescent="0.4">
      <c r="A10" t="s">
        <v>274</v>
      </c>
      <c r="B10" s="10" t="s">
        <v>852</v>
      </c>
      <c r="E10" s="56" t="s">
        <v>289</v>
      </c>
      <c r="F10" s="57">
        <v>0</v>
      </c>
      <c r="G10" s="57">
        <v>-312000</v>
      </c>
      <c r="H10" s="57">
        <v>-312000</v>
      </c>
      <c r="L10" t="s">
        <v>857</v>
      </c>
      <c r="M10">
        <v>13</v>
      </c>
      <c r="N10">
        <v>2</v>
      </c>
      <c r="O10" s="49">
        <v>26000</v>
      </c>
      <c r="P10">
        <v>13</v>
      </c>
      <c r="Q10">
        <v>26</v>
      </c>
      <c r="R10">
        <v>0</v>
      </c>
      <c r="S10">
        <v>0</v>
      </c>
      <c r="T10">
        <v>13</v>
      </c>
      <c r="U10">
        <v>26</v>
      </c>
      <c r="V10">
        <v>0</v>
      </c>
      <c r="W10">
        <v>0</v>
      </c>
      <c r="Y10" t="s">
        <v>784</v>
      </c>
      <c r="Z10" s="49">
        <v>3913800</v>
      </c>
      <c r="AA10" s="49">
        <v>3598800</v>
      </c>
      <c r="AB10" s="49">
        <f t="shared" si="0"/>
        <v>244900</v>
      </c>
    </row>
    <row r="11" spans="1:28" x14ac:dyDescent="0.4">
      <c r="A11" t="s">
        <v>301</v>
      </c>
      <c r="B11" s="10">
        <v>57.26</v>
      </c>
      <c r="C11" s="50">
        <f t="shared" ref="C11:C15" si="1">B11*0.3025</f>
        <v>17.321149999999999</v>
      </c>
      <c r="E11" s="56" t="s">
        <v>290</v>
      </c>
      <c r="F11" s="57">
        <v>20249720</v>
      </c>
      <c r="G11" s="57">
        <v>15605731</v>
      </c>
      <c r="H11" s="57">
        <v>35855451</v>
      </c>
      <c r="I11" s="57"/>
      <c r="L11" t="s">
        <v>353</v>
      </c>
      <c r="M11">
        <v>1.4</v>
      </c>
      <c r="N11">
        <v>6</v>
      </c>
      <c r="O11" s="49">
        <v>8400</v>
      </c>
      <c r="P11">
        <v>1</v>
      </c>
      <c r="Q11">
        <v>6</v>
      </c>
      <c r="R11">
        <v>0.4</v>
      </c>
      <c r="S11">
        <v>2.4</v>
      </c>
      <c r="T11">
        <v>1</v>
      </c>
      <c r="U11">
        <v>6</v>
      </c>
      <c r="V11">
        <v>0.4</v>
      </c>
      <c r="W11">
        <v>2.4</v>
      </c>
      <c r="Y11" t="s">
        <v>785</v>
      </c>
      <c r="Z11" s="49">
        <v>4045200</v>
      </c>
      <c r="AA11" s="49">
        <v>3730200</v>
      </c>
      <c r="AB11" s="49">
        <f t="shared" si="0"/>
        <v>376300</v>
      </c>
    </row>
    <row r="12" spans="1:28" x14ac:dyDescent="0.4">
      <c r="A12" t="s">
        <v>302</v>
      </c>
      <c r="B12" s="10">
        <v>45.85</v>
      </c>
      <c r="C12" s="50">
        <f t="shared" si="1"/>
        <v>13.869624999999999</v>
      </c>
      <c r="E12" s="56" t="s">
        <v>291</v>
      </c>
      <c r="F12" s="57">
        <v>20489820</v>
      </c>
      <c r="G12" s="57">
        <v>15605731</v>
      </c>
      <c r="H12" s="57">
        <v>36095551</v>
      </c>
      <c r="L12" t="s">
        <v>354</v>
      </c>
      <c r="M12">
        <v>2</v>
      </c>
      <c r="N12">
        <v>103.11</v>
      </c>
      <c r="O12" s="49">
        <v>206220</v>
      </c>
      <c r="P12">
        <v>2</v>
      </c>
      <c r="Q12">
        <v>206.22</v>
      </c>
      <c r="R12">
        <v>0</v>
      </c>
      <c r="S12">
        <v>0</v>
      </c>
      <c r="T12">
        <v>2</v>
      </c>
      <c r="U12">
        <v>206.22</v>
      </c>
      <c r="V12">
        <v>0</v>
      </c>
      <c r="W12">
        <v>0</v>
      </c>
    </row>
    <row r="13" spans="1:28" x14ac:dyDescent="0.4">
      <c r="A13" t="s">
        <v>303</v>
      </c>
      <c r="C13" s="50">
        <f t="shared" si="1"/>
        <v>0</v>
      </c>
      <c r="E13" s="56" t="s">
        <v>292</v>
      </c>
      <c r="F13" s="57">
        <v>-240100</v>
      </c>
      <c r="G13" s="57">
        <v>0</v>
      </c>
      <c r="H13" s="57">
        <v>-240100</v>
      </c>
      <c r="L13" t="s">
        <v>830</v>
      </c>
      <c r="M13">
        <v>-7</v>
      </c>
      <c r="N13">
        <v>45</v>
      </c>
      <c r="O13" s="49">
        <v>-315000</v>
      </c>
      <c r="P13">
        <v>-7</v>
      </c>
      <c r="Q13">
        <v>-315</v>
      </c>
      <c r="R13">
        <v>0</v>
      </c>
      <c r="S13">
        <v>0</v>
      </c>
      <c r="T13">
        <v>-7</v>
      </c>
      <c r="U13">
        <v>-315</v>
      </c>
      <c r="V13">
        <v>0</v>
      </c>
      <c r="W13">
        <v>0</v>
      </c>
    </row>
    <row r="14" spans="1:28" x14ac:dyDescent="0.4">
      <c r="A14" t="s">
        <v>304</v>
      </c>
      <c r="B14" s="10">
        <v>103.11</v>
      </c>
      <c r="C14" s="50">
        <f t="shared" si="1"/>
        <v>31.190774999999999</v>
      </c>
      <c r="L14" t="s">
        <v>355</v>
      </c>
    </row>
    <row r="15" spans="1:28" x14ac:dyDescent="0.4">
      <c r="A15" t="s">
        <v>305</v>
      </c>
      <c r="B15" s="10">
        <v>59.7</v>
      </c>
      <c r="C15" s="50">
        <f t="shared" si="1"/>
        <v>18.059249999999999</v>
      </c>
      <c r="L15" t="s">
        <v>356</v>
      </c>
      <c r="M15">
        <v>2.8</v>
      </c>
      <c r="N15">
        <v>58</v>
      </c>
      <c r="O15" s="49">
        <v>162400</v>
      </c>
      <c r="P15">
        <v>2.8</v>
      </c>
      <c r="Q15">
        <v>162.4</v>
      </c>
      <c r="R15">
        <v>0</v>
      </c>
      <c r="S15">
        <v>0</v>
      </c>
      <c r="T15">
        <v>2.8</v>
      </c>
      <c r="U15">
        <v>162.4</v>
      </c>
      <c r="V15">
        <v>0</v>
      </c>
      <c r="W15">
        <v>0</v>
      </c>
    </row>
    <row r="16" spans="1:28" x14ac:dyDescent="0.4">
      <c r="A16" t="s">
        <v>306</v>
      </c>
      <c r="L16" t="s">
        <v>357</v>
      </c>
      <c r="M16">
        <v>1.4</v>
      </c>
      <c r="N16">
        <v>12</v>
      </c>
      <c r="O16" s="49">
        <v>16800</v>
      </c>
      <c r="P16">
        <v>1.4</v>
      </c>
      <c r="Q16">
        <v>16.8</v>
      </c>
      <c r="R16">
        <v>0</v>
      </c>
      <c r="S16">
        <v>0</v>
      </c>
      <c r="T16">
        <v>1.4</v>
      </c>
      <c r="U16">
        <v>16.8</v>
      </c>
      <c r="V16">
        <v>0</v>
      </c>
      <c r="W16">
        <v>0</v>
      </c>
    </row>
    <row r="17" spans="1:23" x14ac:dyDescent="0.4">
      <c r="A17" t="s">
        <v>307</v>
      </c>
      <c r="B17" s="10" t="s">
        <v>276</v>
      </c>
      <c r="L17" t="s">
        <v>858</v>
      </c>
      <c r="M17">
        <v>3</v>
      </c>
      <c r="N17">
        <v>2</v>
      </c>
      <c r="O17" s="49">
        <v>6000</v>
      </c>
      <c r="P17">
        <v>3</v>
      </c>
      <c r="Q17">
        <v>6</v>
      </c>
      <c r="R17">
        <v>0</v>
      </c>
      <c r="S17">
        <v>0</v>
      </c>
      <c r="T17">
        <v>3</v>
      </c>
      <c r="U17">
        <v>6</v>
      </c>
      <c r="V17">
        <v>0</v>
      </c>
      <c r="W17">
        <v>0</v>
      </c>
    </row>
    <row r="18" spans="1:23" x14ac:dyDescent="0.4">
      <c r="A18" t="s">
        <v>308</v>
      </c>
      <c r="B18" s="10" t="s">
        <v>853</v>
      </c>
      <c r="L18" t="s">
        <v>358</v>
      </c>
    </row>
    <row r="19" spans="1:23" x14ac:dyDescent="0.4">
      <c r="A19" t="s">
        <v>285</v>
      </c>
      <c r="B19" s="10" t="s">
        <v>854</v>
      </c>
      <c r="L19" t="s">
        <v>359</v>
      </c>
      <c r="M19">
        <v>0.3</v>
      </c>
      <c r="N19">
        <v>25</v>
      </c>
      <c r="O19" s="49">
        <v>7500</v>
      </c>
      <c r="P19">
        <v>0.2</v>
      </c>
      <c r="Q19">
        <v>5</v>
      </c>
      <c r="R19">
        <v>0.1</v>
      </c>
      <c r="S19">
        <v>2.5</v>
      </c>
      <c r="T19">
        <v>0.2</v>
      </c>
      <c r="U19">
        <v>5</v>
      </c>
      <c r="V19">
        <v>0.1</v>
      </c>
      <c r="W19">
        <v>2.5</v>
      </c>
    </row>
    <row r="20" spans="1:23" x14ac:dyDescent="0.4">
      <c r="L20" t="s">
        <v>360</v>
      </c>
    </row>
    <row r="21" spans="1:23" x14ac:dyDescent="0.4">
      <c r="A21" s="56" t="s">
        <v>744</v>
      </c>
      <c r="B21" s="60" t="s">
        <v>745</v>
      </c>
      <c r="C21" s="56"/>
      <c r="D21" s="57"/>
      <c r="E21" s="61" t="s">
        <v>744</v>
      </c>
      <c r="F21" s="62" t="s">
        <v>745</v>
      </c>
      <c r="G21" s="62" t="s">
        <v>746</v>
      </c>
      <c r="H21" s="62" t="s">
        <v>747</v>
      </c>
      <c r="L21" t="s">
        <v>361</v>
      </c>
      <c r="M21">
        <v>13</v>
      </c>
      <c r="N21">
        <v>104</v>
      </c>
      <c r="O21" s="49">
        <v>1352000</v>
      </c>
      <c r="P21">
        <v>0</v>
      </c>
      <c r="Q21">
        <v>0</v>
      </c>
      <c r="R21">
        <v>13</v>
      </c>
      <c r="S21">
        <v>1352</v>
      </c>
      <c r="T21">
        <v>0</v>
      </c>
      <c r="U21">
        <v>0</v>
      </c>
      <c r="V21">
        <v>13</v>
      </c>
      <c r="W21">
        <v>1352</v>
      </c>
    </row>
    <row r="22" spans="1:23" x14ac:dyDescent="0.4">
      <c r="A22" s="57" t="s">
        <v>85</v>
      </c>
      <c r="B22" s="60">
        <f>VLOOKUP("合計",E1:H13,4,FALSE)</f>
        <v>35855451</v>
      </c>
      <c r="C22" s="56"/>
      <c r="D22" s="57"/>
      <c r="E22" s="61" t="s">
        <v>234</v>
      </c>
      <c r="F22" s="62">
        <v>5546920</v>
      </c>
      <c r="G22" s="62">
        <v>2975400</v>
      </c>
      <c r="H22" s="62">
        <v>8522320</v>
      </c>
      <c r="L22" t="s">
        <v>362</v>
      </c>
      <c r="M22">
        <v>14</v>
      </c>
      <c r="N22">
        <v>104</v>
      </c>
      <c r="O22" s="49">
        <v>1456000</v>
      </c>
      <c r="P22">
        <v>0</v>
      </c>
      <c r="Q22">
        <v>0</v>
      </c>
      <c r="R22">
        <v>14</v>
      </c>
      <c r="S22">
        <v>1456</v>
      </c>
      <c r="T22">
        <v>0</v>
      </c>
      <c r="U22">
        <v>0</v>
      </c>
      <c r="V22">
        <v>14</v>
      </c>
      <c r="W22">
        <v>1456</v>
      </c>
    </row>
    <row r="23" spans="1:23" x14ac:dyDescent="0.4">
      <c r="A23" s="57" t="s">
        <v>86</v>
      </c>
      <c r="B23" s="60">
        <f>INT(B22 / (VLOOKUP("延床面積",A1:C17,2,FALSE)*0.3025))</f>
        <v>1149553</v>
      </c>
      <c r="C23" s="56"/>
      <c r="D23" s="57"/>
      <c r="E23" s="61" t="s">
        <v>235</v>
      </c>
      <c r="F23" s="62">
        <v>1638400</v>
      </c>
      <c r="G23" s="62">
        <v>85700</v>
      </c>
      <c r="H23" s="62">
        <v>1724100</v>
      </c>
      <c r="L23" t="s">
        <v>363</v>
      </c>
      <c r="M23">
        <v>25</v>
      </c>
      <c r="N23">
        <v>1</v>
      </c>
      <c r="O23" s="49">
        <v>25000</v>
      </c>
      <c r="P23">
        <v>0</v>
      </c>
      <c r="Q23">
        <v>0</v>
      </c>
      <c r="R23">
        <v>25</v>
      </c>
      <c r="S23">
        <v>25</v>
      </c>
      <c r="T23">
        <v>0</v>
      </c>
      <c r="U23">
        <v>0</v>
      </c>
      <c r="V23">
        <v>25</v>
      </c>
      <c r="W23">
        <v>25</v>
      </c>
    </row>
    <row r="24" spans="1:23" x14ac:dyDescent="0.4">
      <c r="A24" s="57" t="s">
        <v>87</v>
      </c>
      <c r="B24" s="60">
        <f>VLOOKUP("ｳｫｰﾑﾌｧｸﾄﾘｰ 小計",E15:H171,4,FALSE)+VLOOKUP("ｴｱｰﾌｧｸﾄﾘｰ 小計",E15:H171,4,FALSE)+VLOOKUP("快適ｴｱﾘｰ 小計",E15:H171,4,FALSE)</f>
        <v>1053100</v>
      </c>
      <c r="C24" s="56"/>
      <c r="D24" s="57"/>
      <c r="E24" s="61" t="s">
        <v>310</v>
      </c>
      <c r="F24" s="62">
        <v>0</v>
      </c>
      <c r="G24" s="62">
        <v>0</v>
      </c>
      <c r="H24" s="62">
        <v>0</v>
      </c>
      <c r="L24" t="s">
        <v>364</v>
      </c>
      <c r="M24">
        <v>12.5</v>
      </c>
      <c r="N24">
        <v>11</v>
      </c>
      <c r="O24" s="49">
        <v>137500</v>
      </c>
      <c r="P24">
        <v>0</v>
      </c>
      <c r="Q24">
        <v>0</v>
      </c>
      <c r="R24">
        <v>12.5</v>
      </c>
      <c r="S24">
        <v>137.5</v>
      </c>
      <c r="T24">
        <v>0</v>
      </c>
      <c r="U24">
        <v>0</v>
      </c>
      <c r="V24">
        <v>12.5</v>
      </c>
      <c r="W24">
        <v>137.5</v>
      </c>
    </row>
    <row r="25" spans="1:23" x14ac:dyDescent="0.4">
      <c r="A25" s="57" t="s">
        <v>88</v>
      </c>
      <c r="B25" s="60">
        <f>VLOOKUP("太陽光発電 小計",E15:H171,4,FALSE)+VLOOKUP("太陽光共通 小計",E15:H171,4,FALSE)+VLOOKUP("ｽﾏｰﾄﾊｲﾑﾅﾋﾞ 小計",E15:H171,4,FALSE)+VLOOKUP("蓄電池 小計",E15:H171,4,FALSE)+VLOOKUP("ｽﾏｰﾄﾊｲﾑ特別減額 小計",E15:H171,4,FALSE)</f>
        <v>0</v>
      </c>
      <c r="C25" s="56"/>
      <c r="D25" s="57"/>
      <c r="E25" s="61" t="s">
        <v>236</v>
      </c>
      <c r="F25" s="62">
        <v>3668900</v>
      </c>
      <c r="G25" s="62">
        <v>0</v>
      </c>
      <c r="H25" s="62">
        <v>3668900</v>
      </c>
      <c r="K25" t="s">
        <v>365</v>
      </c>
      <c r="O25" s="49">
        <v>8522320</v>
      </c>
      <c r="Q25">
        <v>5546.92</v>
      </c>
      <c r="S25">
        <v>2975.4</v>
      </c>
      <c r="U25">
        <v>5546.92</v>
      </c>
      <c r="W25">
        <v>2975.4</v>
      </c>
    </row>
    <row r="26" spans="1:23" x14ac:dyDescent="0.4">
      <c r="A26" s="57" t="s">
        <v>89</v>
      </c>
      <c r="B26" s="60">
        <f>B22-B24-B25</f>
        <v>34802351</v>
      </c>
      <c r="C26" s="56"/>
      <c r="D26" s="57"/>
      <c r="E26" s="61" t="s">
        <v>237</v>
      </c>
      <c r="F26" s="62">
        <v>1179000</v>
      </c>
      <c r="G26" s="62">
        <v>13400</v>
      </c>
      <c r="H26" s="62">
        <v>1192400</v>
      </c>
      <c r="K26" t="s">
        <v>366</v>
      </c>
    </row>
    <row r="27" spans="1:23" x14ac:dyDescent="0.4">
      <c r="A27" s="57" t="s">
        <v>90</v>
      </c>
      <c r="B27" s="60">
        <f>INT(B26/ (VLOOKUP("延床面積",A1:C17,2,FALSE)*0.3025))</f>
        <v>1115789</v>
      </c>
      <c r="C27" s="56"/>
      <c r="D27" s="57"/>
      <c r="E27" s="61" t="s">
        <v>238</v>
      </c>
      <c r="F27" s="62">
        <v>0</v>
      </c>
      <c r="G27" s="62">
        <v>0</v>
      </c>
      <c r="H27" s="62">
        <v>0</v>
      </c>
      <c r="L27" t="s">
        <v>367</v>
      </c>
    </row>
    <row r="28" spans="1:23" x14ac:dyDescent="0.4">
      <c r="A28" s="57" t="s">
        <v>91</v>
      </c>
      <c r="B28" s="60">
        <f>VLOOKUP(A28,L:N,3,FALSE)</f>
        <v>45</v>
      </c>
      <c r="C28" s="56"/>
      <c r="D28" s="57"/>
      <c r="E28" s="61" t="s">
        <v>239</v>
      </c>
      <c r="F28" s="62">
        <v>0</v>
      </c>
      <c r="G28" s="62">
        <v>0</v>
      </c>
      <c r="H28" s="62">
        <v>0</v>
      </c>
      <c r="L28" t="s">
        <v>368</v>
      </c>
      <c r="M28">
        <v>-18</v>
      </c>
      <c r="N28">
        <v>5</v>
      </c>
      <c r="O28" s="49">
        <v>-90000</v>
      </c>
      <c r="P28">
        <v>-23</v>
      </c>
      <c r="Q28">
        <v>-115</v>
      </c>
      <c r="R28">
        <v>5</v>
      </c>
      <c r="S28">
        <v>25</v>
      </c>
      <c r="T28">
        <v>-23</v>
      </c>
      <c r="U28">
        <v>-115</v>
      </c>
      <c r="V28">
        <v>5</v>
      </c>
      <c r="W28">
        <v>25</v>
      </c>
    </row>
    <row r="29" spans="1:23" x14ac:dyDescent="0.4">
      <c r="A29" s="57" t="s">
        <v>164</v>
      </c>
      <c r="B29" s="60">
        <f>VLOOKUP(A29,L:N,3,FALSE)</f>
        <v>11</v>
      </c>
      <c r="C29" s="56"/>
      <c r="D29" s="57"/>
      <c r="E29" s="61" t="s">
        <v>240</v>
      </c>
      <c r="F29" s="62">
        <v>0</v>
      </c>
      <c r="G29" s="62">
        <v>0</v>
      </c>
      <c r="H29" s="62">
        <v>0</v>
      </c>
      <c r="L29" t="s">
        <v>369</v>
      </c>
      <c r="M29">
        <v>48.9</v>
      </c>
      <c r="N29">
        <v>21</v>
      </c>
      <c r="O29" s="49">
        <v>1026900</v>
      </c>
      <c r="P29">
        <v>47</v>
      </c>
      <c r="Q29">
        <v>987</v>
      </c>
      <c r="R29">
        <v>1.9</v>
      </c>
      <c r="S29">
        <v>39.9</v>
      </c>
      <c r="T29">
        <v>47</v>
      </c>
      <c r="U29">
        <v>987</v>
      </c>
      <c r="V29">
        <v>1.9</v>
      </c>
      <c r="W29">
        <v>39.9</v>
      </c>
    </row>
    <row r="30" spans="1:23" x14ac:dyDescent="0.4">
      <c r="A30" s="57" t="s">
        <v>165</v>
      </c>
      <c r="B30" s="60">
        <f>VLOOKUP(A30,L:N,3,FALSE)</f>
        <v>6</v>
      </c>
      <c r="C30" s="56"/>
      <c r="D30" s="57"/>
      <c r="E30" s="61" t="s">
        <v>241</v>
      </c>
      <c r="F30" s="62">
        <v>0</v>
      </c>
      <c r="G30" s="62">
        <v>0</v>
      </c>
      <c r="H30" s="62">
        <v>0</v>
      </c>
      <c r="L30" t="s">
        <v>370</v>
      </c>
      <c r="M30">
        <v>-30</v>
      </c>
      <c r="N30">
        <v>2</v>
      </c>
      <c r="O30" s="49">
        <v>-60000</v>
      </c>
      <c r="P30">
        <v>-33</v>
      </c>
      <c r="Q30">
        <v>-66</v>
      </c>
      <c r="R30">
        <v>3</v>
      </c>
      <c r="S30">
        <v>6</v>
      </c>
      <c r="T30">
        <v>-33</v>
      </c>
      <c r="U30">
        <v>-66</v>
      </c>
      <c r="V30">
        <v>3</v>
      </c>
      <c r="W30">
        <v>6</v>
      </c>
    </row>
    <row r="31" spans="1:23" x14ac:dyDescent="0.4">
      <c r="A31" s="57" t="s">
        <v>92</v>
      </c>
      <c r="B31" s="60">
        <f>VLOOKUP(A31,L:N,3,FALSE)</f>
        <v>58</v>
      </c>
      <c r="C31" s="56"/>
      <c r="D31" s="57"/>
      <c r="E31" s="61" t="s">
        <v>242</v>
      </c>
      <c r="F31" s="62">
        <v>0</v>
      </c>
      <c r="G31" s="62">
        <v>0</v>
      </c>
      <c r="H31" s="62">
        <v>0</v>
      </c>
      <c r="L31" t="s">
        <v>371</v>
      </c>
      <c r="M31">
        <v>69.3</v>
      </c>
      <c r="N31">
        <v>4</v>
      </c>
      <c r="O31" s="49">
        <v>277200</v>
      </c>
      <c r="P31">
        <v>67</v>
      </c>
      <c r="Q31">
        <v>268</v>
      </c>
      <c r="R31">
        <v>2.2999999999999998</v>
      </c>
      <c r="S31">
        <v>9.1999999999999993</v>
      </c>
      <c r="T31">
        <v>67</v>
      </c>
      <c r="U31">
        <v>268</v>
      </c>
      <c r="V31">
        <v>2.2999999999999998</v>
      </c>
      <c r="W31">
        <v>9.1999999999999993</v>
      </c>
    </row>
    <row r="32" spans="1:23" x14ac:dyDescent="0.4">
      <c r="A32" s="57" t="s">
        <v>93</v>
      </c>
      <c r="B32" s="60">
        <f>VLOOKUP(A32,L:N,3,FALSE)</f>
        <v>12</v>
      </c>
      <c r="C32" s="56"/>
      <c r="D32" s="57"/>
      <c r="E32" s="61" t="s">
        <v>311</v>
      </c>
      <c r="F32" s="62">
        <v>455000</v>
      </c>
      <c r="G32" s="62">
        <v>489025</v>
      </c>
      <c r="H32" s="62">
        <v>944025</v>
      </c>
      <c r="L32" t="s">
        <v>372</v>
      </c>
      <c r="M32">
        <v>0.8</v>
      </c>
      <c r="N32">
        <v>7</v>
      </c>
      <c r="O32" s="49">
        <v>5600</v>
      </c>
      <c r="P32">
        <v>0</v>
      </c>
      <c r="Q32">
        <v>0</v>
      </c>
      <c r="R32">
        <v>0.8</v>
      </c>
      <c r="S32">
        <v>5.6</v>
      </c>
      <c r="T32">
        <v>0</v>
      </c>
      <c r="U32">
        <v>0</v>
      </c>
      <c r="V32">
        <v>0.8</v>
      </c>
      <c r="W32">
        <v>5.6</v>
      </c>
    </row>
    <row r="33" spans="1:23" x14ac:dyDescent="0.4">
      <c r="A33" s="57" t="s">
        <v>94</v>
      </c>
      <c r="B33" s="60">
        <f>VLOOKUP(A33,L:N,3,FALSE)</f>
        <v>11</v>
      </c>
      <c r="C33" s="56"/>
      <c r="D33" s="57"/>
      <c r="E33" s="61" t="s">
        <v>312</v>
      </c>
      <c r="F33" s="62">
        <v>0</v>
      </c>
      <c r="G33" s="62">
        <v>0</v>
      </c>
      <c r="H33" s="62">
        <v>0</v>
      </c>
      <c r="L33" t="s">
        <v>373</v>
      </c>
    </row>
    <row r="34" spans="1:23" x14ac:dyDescent="0.4">
      <c r="A34" s="57" t="s">
        <v>95</v>
      </c>
      <c r="B34" s="60" t="e">
        <f>VLOOKUP(A34,L:N,3,FALSE)</f>
        <v>#N/A</v>
      </c>
      <c r="C34" s="56"/>
      <c r="D34" s="57"/>
      <c r="E34" s="61" t="s">
        <v>313</v>
      </c>
      <c r="F34" s="62">
        <v>9000</v>
      </c>
      <c r="G34" s="62">
        <v>600</v>
      </c>
      <c r="H34" s="62">
        <v>9600</v>
      </c>
      <c r="L34" t="s">
        <v>374</v>
      </c>
      <c r="M34">
        <v>13.6</v>
      </c>
      <c r="N34">
        <v>38</v>
      </c>
      <c r="O34" s="49">
        <v>516800</v>
      </c>
      <c r="P34">
        <v>13.6</v>
      </c>
      <c r="Q34">
        <v>516.79999999999995</v>
      </c>
      <c r="R34">
        <v>0</v>
      </c>
      <c r="S34">
        <v>0</v>
      </c>
      <c r="T34">
        <v>13.6</v>
      </c>
      <c r="U34">
        <v>516.79999999999995</v>
      </c>
      <c r="V34">
        <v>0</v>
      </c>
      <c r="W34">
        <v>0</v>
      </c>
    </row>
    <row r="35" spans="1:23" x14ac:dyDescent="0.4">
      <c r="A35" s="57" t="s">
        <v>96</v>
      </c>
      <c r="B35" s="60" t="e">
        <f>VLOOKUP(A35,L:N,3,FALSE)</f>
        <v>#N/A</v>
      </c>
      <c r="C35" s="56"/>
      <c r="D35" s="57"/>
      <c r="E35" s="61" t="s">
        <v>314</v>
      </c>
      <c r="F35" s="62">
        <v>0</v>
      </c>
      <c r="G35" s="62">
        <v>0</v>
      </c>
      <c r="H35" s="62">
        <v>0</v>
      </c>
      <c r="L35" t="s">
        <v>375</v>
      </c>
      <c r="M35">
        <v>6.8</v>
      </c>
      <c r="N35">
        <v>7</v>
      </c>
      <c r="O35" s="49">
        <v>47600</v>
      </c>
      <c r="P35">
        <v>6.8</v>
      </c>
      <c r="Q35">
        <v>47.6</v>
      </c>
      <c r="R35">
        <v>0</v>
      </c>
      <c r="S35">
        <v>0</v>
      </c>
      <c r="T35">
        <v>6.8</v>
      </c>
      <c r="U35">
        <v>47.6</v>
      </c>
      <c r="V35">
        <v>0</v>
      </c>
      <c r="W35">
        <v>0</v>
      </c>
    </row>
    <row r="36" spans="1:23" x14ac:dyDescent="0.4">
      <c r="A36" s="57" t="s">
        <v>97</v>
      </c>
      <c r="B36" s="60" t="e">
        <f>VLOOKUP(A36,L:N,3,FALSE)</f>
        <v>#N/A</v>
      </c>
      <c r="C36" s="56"/>
      <c r="D36" s="57"/>
      <c r="E36" s="61" t="s">
        <v>315</v>
      </c>
      <c r="F36" s="62">
        <v>0</v>
      </c>
      <c r="G36" s="62">
        <v>0</v>
      </c>
      <c r="H36" s="62">
        <v>0</v>
      </c>
      <c r="K36" t="s">
        <v>376</v>
      </c>
      <c r="O36" s="49">
        <v>1724100</v>
      </c>
      <c r="Q36">
        <v>1638.4</v>
      </c>
      <c r="S36">
        <v>85.7</v>
      </c>
      <c r="U36">
        <v>1638.4</v>
      </c>
      <c r="W36">
        <v>85.7</v>
      </c>
    </row>
    <row r="37" spans="1:23" x14ac:dyDescent="0.4">
      <c r="A37" s="56" t="s">
        <v>98</v>
      </c>
      <c r="B37" s="60" t="str">
        <f>IF(VLOOKUP(A37,E:H,4,FALSE)&gt;0, "有", "無")</f>
        <v>無</v>
      </c>
      <c r="C37" s="56"/>
      <c r="D37" s="57"/>
      <c r="E37" s="61" t="s">
        <v>316</v>
      </c>
      <c r="F37" s="62">
        <v>0</v>
      </c>
      <c r="G37" s="62">
        <v>0</v>
      </c>
      <c r="H37" s="62">
        <v>0</v>
      </c>
      <c r="K37" t="s">
        <v>377</v>
      </c>
    </row>
    <row r="38" spans="1:23" x14ac:dyDescent="0.4">
      <c r="A38" s="56" t="s">
        <v>99</v>
      </c>
      <c r="B38" s="60" t="str">
        <f>IF(VLOOKUP(A38,E:H,4,FALSE)&gt;0, "有", "無")</f>
        <v>無</v>
      </c>
      <c r="C38" s="56"/>
      <c r="D38" s="57"/>
      <c r="E38" s="61" t="s">
        <v>317</v>
      </c>
      <c r="F38" s="62">
        <v>1286800</v>
      </c>
      <c r="G38" s="62">
        <v>567810</v>
      </c>
      <c r="H38" s="62">
        <v>1854610</v>
      </c>
      <c r="K38" t="s">
        <v>378</v>
      </c>
      <c r="O38" s="49">
        <v>0</v>
      </c>
      <c r="Q38">
        <v>0</v>
      </c>
      <c r="S38">
        <v>0</v>
      </c>
      <c r="U38">
        <v>0</v>
      </c>
      <c r="W38">
        <v>0</v>
      </c>
    </row>
    <row r="39" spans="1:23" x14ac:dyDescent="0.4">
      <c r="A39" s="56" t="s">
        <v>100</v>
      </c>
      <c r="B39" s="60" t="str">
        <f>IF(VLOOKUP(A39,E:H,4,FALSE)&gt;0, "有", "無")</f>
        <v>有</v>
      </c>
      <c r="C39" s="56"/>
      <c r="D39" s="57"/>
      <c r="E39" s="61" t="s">
        <v>318</v>
      </c>
      <c r="F39" s="62">
        <v>611000</v>
      </c>
      <c r="G39" s="62">
        <v>175700</v>
      </c>
      <c r="H39" s="62">
        <v>786700</v>
      </c>
      <c r="J39" t="s">
        <v>74</v>
      </c>
    </row>
    <row r="40" spans="1:23" x14ac:dyDescent="0.4">
      <c r="A40" s="56" t="s">
        <v>101</v>
      </c>
      <c r="B40" s="60" t="str">
        <f>IF(VLOOKUP(A40,E:H,4,FALSE)&gt;0, "有", "無")</f>
        <v>無</v>
      </c>
      <c r="C40" s="56"/>
      <c r="D40" s="57"/>
      <c r="E40" s="61" t="s">
        <v>244</v>
      </c>
      <c r="F40" s="62">
        <v>1002200</v>
      </c>
      <c r="G40" s="62">
        <v>72600</v>
      </c>
      <c r="H40" s="62">
        <v>1074800</v>
      </c>
      <c r="K40" t="s">
        <v>308</v>
      </c>
    </row>
    <row r="41" spans="1:23" x14ac:dyDescent="0.4">
      <c r="A41" s="56"/>
      <c r="B41" s="60"/>
      <c r="C41" s="56"/>
      <c r="D41" s="57"/>
      <c r="E41" s="61" t="s">
        <v>245</v>
      </c>
      <c r="F41" s="62">
        <v>8000</v>
      </c>
      <c r="G41" s="62">
        <v>2800</v>
      </c>
      <c r="H41" s="62">
        <v>10800</v>
      </c>
      <c r="L41" t="s">
        <v>379</v>
      </c>
    </row>
    <row r="42" spans="1:23" x14ac:dyDescent="0.4">
      <c r="A42" s="56"/>
      <c r="B42" s="60"/>
      <c r="C42" s="56"/>
      <c r="D42" s="57"/>
      <c r="E42" s="61" t="s">
        <v>246</v>
      </c>
      <c r="F42" s="62">
        <v>210000</v>
      </c>
      <c r="G42" s="62">
        <v>31500</v>
      </c>
      <c r="H42" s="62">
        <v>241500</v>
      </c>
      <c r="L42" t="s">
        <v>859</v>
      </c>
      <c r="M42">
        <v>54.5</v>
      </c>
      <c r="N42">
        <v>58</v>
      </c>
      <c r="O42" s="49">
        <v>3161000</v>
      </c>
      <c r="P42">
        <v>54.5</v>
      </c>
      <c r="Q42">
        <v>3161</v>
      </c>
      <c r="R42">
        <v>0</v>
      </c>
      <c r="S42">
        <v>0</v>
      </c>
      <c r="T42">
        <v>54.5</v>
      </c>
      <c r="U42">
        <v>3161</v>
      </c>
      <c r="V42">
        <v>0</v>
      </c>
      <c r="W42">
        <v>0</v>
      </c>
    </row>
    <row r="43" spans="1:23" x14ac:dyDescent="0.4">
      <c r="A43" s="56"/>
      <c r="B43" s="60"/>
      <c r="C43" s="56"/>
      <c r="D43" s="57"/>
      <c r="E43" s="61" t="s">
        <v>247</v>
      </c>
      <c r="F43" s="62">
        <v>0</v>
      </c>
      <c r="G43" s="62">
        <v>0</v>
      </c>
      <c r="H43" s="62">
        <v>0</v>
      </c>
      <c r="L43" t="s">
        <v>860</v>
      </c>
      <c r="M43">
        <v>27.2</v>
      </c>
      <c r="N43">
        <v>12</v>
      </c>
      <c r="O43" s="49">
        <v>326400</v>
      </c>
      <c r="P43">
        <v>27.2</v>
      </c>
      <c r="Q43">
        <v>326.39999999999998</v>
      </c>
      <c r="R43">
        <v>0</v>
      </c>
      <c r="S43">
        <v>0</v>
      </c>
      <c r="T43">
        <v>27.2</v>
      </c>
      <c r="U43">
        <v>326.39999999999998</v>
      </c>
      <c r="V43">
        <v>0</v>
      </c>
      <c r="W43">
        <v>0</v>
      </c>
    </row>
    <row r="44" spans="1:23" x14ac:dyDescent="0.4">
      <c r="A44" s="56"/>
      <c r="B44" s="60"/>
      <c r="C44" s="56"/>
      <c r="D44" s="57"/>
      <c r="E44" s="61" t="s">
        <v>248</v>
      </c>
      <c r="F44" s="62">
        <v>0</v>
      </c>
      <c r="G44" s="62">
        <v>0</v>
      </c>
      <c r="H44" s="62">
        <v>0</v>
      </c>
      <c r="L44" t="s">
        <v>861</v>
      </c>
      <c r="M44">
        <v>16.5</v>
      </c>
      <c r="N44">
        <v>11</v>
      </c>
      <c r="O44" s="49">
        <v>181500</v>
      </c>
      <c r="P44">
        <v>16.5</v>
      </c>
      <c r="Q44">
        <v>181.5</v>
      </c>
      <c r="R44">
        <v>0</v>
      </c>
      <c r="S44">
        <v>0</v>
      </c>
      <c r="T44">
        <v>16.5</v>
      </c>
      <c r="U44">
        <v>181.5</v>
      </c>
      <c r="V44">
        <v>0</v>
      </c>
      <c r="W44">
        <v>0</v>
      </c>
    </row>
    <row r="45" spans="1:23" x14ac:dyDescent="0.4">
      <c r="A45" s="56"/>
      <c r="B45" s="60"/>
      <c r="C45" s="56"/>
      <c r="D45" s="57"/>
      <c r="E45" s="61" t="s">
        <v>249</v>
      </c>
      <c r="F45" s="62">
        <v>0</v>
      </c>
      <c r="G45" s="62">
        <v>270100</v>
      </c>
      <c r="H45" s="62">
        <v>270100</v>
      </c>
      <c r="K45" t="s">
        <v>380</v>
      </c>
      <c r="O45" s="49">
        <v>3668900</v>
      </c>
      <c r="Q45">
        <v>3668.9</v>
      </c>
      <c r="S45">
        <v>0</v>
      </c>
      <c r="U45">
        <v>3668.9</v>
      </c>
      <c r="W45">
        <v>0</v>
      </c>
    </row>
    <row r="46" spans="1:23" x14ac:dyDescent="0.4">
      <c r="A46" s="56"/>
      <c r="B46" s="60"/>
      <c r="C46" s="56"/>
      <c r="D46" s="57"/>
      <c r="E46" s="61" t="s">
        <v>250</v>
      </c>
      <c r="F46" s="62">
        <v>1788900</v>
      </c>
      <c r="G46" s="62">
        <v>891116</v>
      </c>
      <c r="H46" s="62">
        <v>2680016</v>
      </c>
      <c r="K46" t="s">
        <v>381</v>
      </c>
    </row>
    <row r="47" spans="1:23" x14ac:dyDescent="0.4">
      <c r="A47" s="56"/>
      <c r="B47" s="60"/>
      <c r="C47" s="56"/>
      <c r="D47" s="57"/>
      <c r="E47" s="61" t="s">
        <v>251</v>
      </c>
      <c r="F47" s="62">
        <v>1073800</v>
      </c>
      <c r="G47" s="62">
        <v>456600</v>
      </c>
      <c r="H47" s="62">
        <v>1530400</v>
      </c>
      <c r="L47" t="s">
        <v>382</v>
      </c>
    </row>
    <row r="48" spans="1:23" x14ac:dyDescent="0.4">
      <c r="A48" s="56"/>
      <c r="B48" s="60"/>
      <c r="C48" s="56"/>
      <c r="D48" s="57"/>
      <c r="E48" s="61" t="s">
        <v>319</v>
      </c>
      <c r="F48" s="62">
        <v>0</v>
      </c>
      <c r="G48" s="62">
        <v>728600</v>
      </c>
      <c r="H48" s="62">
        <v>728600</v>
      </c>
      <c r="L48" t="s">
        <v>862</v>
      </c>
      <c r="M48">
        <v>208.7</v>
      </c>
      <c r="N48">
        <v>1</v>
      </c>
      <c r="O48" s="49">
        <v>208700</v>
      </c>
      <c r="P48">
        <v>208</v>
      </c>
      <c r="Q48">
        <v>208</v>
      </c>
      <c r="R48">
        <v>0.7</v>
      </c>
      <c r="S48">
        <v>0.7</v>
      </c>
      <c r="T48">
        <v>240</v>
      </c>
      <c r="U48">
        <v>240</v>
      </c>
      <c r="V48">
        <v>0.7</v>
      </c>
      <c r="W48">
        <v>0.7</v>
      </c>
    </row>
    <row r="49" spans="1:23" x14ac:dyDescent="0.4">
      <c r="A49" s="56"/>
      <c r="B49" s="60"/>
      <c r="C49" s="56"/>
      <c r="D49" s="57"/>
      <c r="E49" s="61" t="s">
        <v>320</v>
      </c>
      <c r="F49" s="62">
        <v>21000</v>
      </c>
      <c r="G49" s="62">
        <v>3600</v>
      </c>
      <c r="H49" s="62">
        <v>24600</v>
      </c>
      <c r="L49" t="s">
        <v>756</v>
      </c>
      <c r="M49">
        <v>168.5</v>
      </c>
      <c r="N49">
        <v>1</v>
      </c>
      <c r="O49" s="49">
        <v>168500</v>
      </c>
      <c r="P49">
        <v>168</v>
      </c>
      <c r="Q49">
        <v>168</v>
      </c>
      <c r="R49">
        <v>0.5</v>
      </c>
      <c r="S49">
        <v>0.5</v>
      </c>
      <c r="T49">
        <v>182</v>
      </c>
      <c r="U49">
        <v>182</v>
      </c>
      <c r="V49">
        <v>0.5</v>
      </c>
      <c r="W49">
        <v>0.5</v>
      </c>
    </row>
    <row r="50" spans="1:23" x14ac:dyDescent="0.4">
      <c r="A50" s="56"/>
      <c r="B50" s="60"/>
      <c r="C50" s="56"/>
      <c r="D50" s="57"/>
      <c r="E50" s="61" t="s">
        <v>321</v>
      </c>
      <c r="F50" s="62">
        <v>0</v>
      </c>
      <c r="G50" s="62">
        <v>0</v>
      </c>
      <c r="H50" s="62">
        <v>0</v>
      </c>
      <c r="L50" t="s">
        <v>383</v>
      </c>
      <c r="M50">
        <v>40.4</v>
      </c>
      <c r="N50">
        <v>3</v>
      </c>
      <c r="O50" s="49">
        <v>121200</v>
      </c>
      <c r="P50">
        <v>39.5</v>
      </c>
      <c r="Q50">
        <v>118.5</v>
      </c>
      <c r="R50">
        <v>0.9</v>
      </c>
      <c r="S50">
        <v>2.7</v>
      </c>
      <c r="T50">
        <v>47.5</v>
      </c>
      <c r="U50">
        <v>142.5</v>
      </c>
      <c r="V50">
        <v>0.9</v>
      </c>
      <c r="W50">
        <v>2.7</v>
      </c>
    </row>
    <row r="51" spans="1:23" x14ac:dyDescent="0.4">
      <c r="A51" s="56"/>
      <c r="B51" s="60"/>
      <c r="C51" s="56"/>
      <c r="D51" s="57"/>
      <c r="E51" s="61" t="s">
        <v>322</v>
      </c>
      <c r="F51" s="62">
        <v>977300</v>
      </c>
      <c r="G51" s="62">
        <v>478300</v>
      </c>
      <c r="H51" s="62">
        <v>1455600</v>
      </c>
      <c r="L51" t="s">
        <v>863</v>
      </c>
      <c r="M51">
        <v>49.4</v>
      </c>
      <c r="N51">
        <v>1</v>
      </c>
      <c r="O51" s="49">
        <v>49400</v>
      </c>
      <c r="P51">
        <v>48.5</v>
      </c>
      <c r="Q51">
        <v>48.5</v>
      </c>
      <c r="R51">
        <v>0.9</v>
      </c>
      <c r="S51">
        <v>0.9</v>
      </c>
      <c r="T51">
        <v>52.5</v>
      </c>
      <c r="U51">
        <v>52.5</v>
      </c>
      <c r="V51">
        <v>0.9</v>
      </c>
      <c r="W51">
        <v>0.9</v>
      </c>
    </row>
    <row r="52" spans="1:23" x14ac:dyDescent="0.4">
      <c r="A52" s="56"/>
      <c r="B52" s="60"/>
      <c r="C52" s="56"/>
      <c r="D52" s="57"/>
      <c r="E52" s="61" t="s">
        <v>323</v>
      </c>
      <c r="F52" s="62">
        <v>0</v>
      </c>
      <c r="G52" s="62">
        <v>0</v>
      </c>
      <c r="H52" s="62">
        <v>0</v>
      </c>
      <c r="L52" t="s">
        <v>864</v>
      </c>
      <c r="M52">
        <v>99.4</v>
      </c>
      <c r="N52">
        <v>1</v>
      </c>
      <c r="O52" s="49">
        <v>99400</v>
      </c>
      <c r="P52">
        <v>98.5</v>
      </c>
      <c r="Q52">
        <v>98.5</v>
      </c>
      <c r="R52">
        <v>0.9</v>
      </c>
      <c r="S52">
        <v>0.9</v>
      </c>
      <c r="T52">
        <v>121.5</v>
      </c>
      <c r="U52">
        <v>121.5</v>
      </c>
      <c r="V52">
        <v>0.9</v>
      </c>
      <c r="W52">
        <v>0.9</v>
      </c>
    </row>
    <row r="53" spans="1:23" x14ac:dyDescent="0.4">
      <c r="A53" s="56"/>
      <c r="B53" s="60"/>
      <c r="C53" s="56"/>
      <c r="D53" s="57"/>
      <c r="E53" s="61" t="s">
        <v>324</v>
      </c>
      <c r="F53" s="62">
        <v>0</v>
      </c>
      <c r="G53" s="62">
        <v>0</v>
      </c>
      <c r="H53" s="62">
        <v>0</v>
      </c>
      <c r="L53" t="s">
        <v>865</v>
      </c>
      <c r="M53">
        <v>82</v>
      </c>
      <c r="N53">
        <v>1</v>
      </c>
      <c r="O53" s="49">
        <v>82000</v>
      </c>
      <c r="P53">
        <v>82</v>
      </c>
      <c r="Q53">
        <v>82</v>
      </c>
      <c r="R53">
        <v>0</v>
      </c>
      <c r="S53">
        <v>0</v>
      </c>
      <c r="T53">
        <v>84</v>
      </c>
      <c r="U53">
        <v>84</v>
      </c>
      <c r="V53">
        <v>0</v>
      </c>
      <c r="W53">
        <v>0</v>
      </c>
    </row>
    <row r="54" spans="1:23" x14ac:dyDescent="0.4">
      <c r="A54" s="56"/>
      <c r="B54" s="60"/>
      <c r="C54" s="56"/>
      <c r="D54" s="57"/>
      <c r="E54" s="61" t="s">
        <v>325</v>
      </c>
      <c r="F54" s="62">
        <v>0</v>
      </c>
      <c r="G54" s="62">
        <v>0</v>
      </c>
      <c r="H54" s="62">
        <v>0</v>
      </c>
      <c r="L54" t="s">
        <v>866</v>
      </c>
      <c r="M54">
        <v>101</v>
      </c>
      <c r="N54">
        <v>1</v>
      </c>
      <c r="O54" s="49">
        <v>101000</v>
      </c>
      <c r="P54">
        <v>101</v>
      </c>
      <c r="Q54">
        <v>101</v>
      </c>
      <c r="R54">
        <v>0</v>
      </c>
      <c r="S54">
        <v>0</v>
      </c>
      <c r="T54">
        <v>106</v>
      </c>
      <c r="U54">
        <v>106</v>
      </c>
      <c r="V54">
        <v>0</v>
      </c>
      <c r="W54">
        <v>0</v>
      </c>
    </row>
    <row r="55" spans="1:23" x14ac:dyDescent="0.4">
      <c r="A55" s="56"/>
      <c r="B55" s="60"/>
      <c r="C55" s="56"/>
      <c r="D55" s="57"/>
      <c r="E55" s="61" t="s">
        <v>326</v>
      </c>
      <c r="F55" s="62">
        <v>0</v>
      </c>
      <c r="G55" s="62">
        <v>0</v>
      </c>
      <c r="H55" s="62">
        <v>0</v>
      </c>
      <c r="L55" t="s">
        <v>867</v>
      </c>
      <c r="M55">
        <v>55</v>
      </c>
      <c r="N55">
        <v>2</v>
      </c>
      <c r="O55" s="49">
        <v>110000</v>
      </c>
      <c r="P55">
        <v>55</v>
      </c>
      <c r="Q55">
        <v>110</v>
      </c>
      <c r="R55">
        <v>0</v>
      </c>
      <c r="S55">
        <v>0</v>
      </c>
      <c r="T55">
        <v>55</v>
      </c>
      <c r="U55">
        <v>110</v>
      </c>
      <c r="V55">
        <v>0</v>
      </c>
      <c r="W55">
        <v>0</v>
      </c>
    </row>
    <row r="56" spans="1:23" x14ac:dyDescent="0.4">
      <c r="A56" s="56"/>
      <c r="B56" s="60"/>
      <c r="C56" s="56"/>
      <c r="D56" s="57"/>
      <c r="E56" s="61" t="s">
        <v>327</v>
      </c>
      <c r="F56" s="62">
        <v>217400</v>
      </c>
      <c r="G56" s="62">
        <v>74600</v>
      </c>
      <c r="H56" s="62">
        <v>292000</v>
      </c>
      <c r="L56" t="s">
        <v>868</v>
      </c>
      <c r="M56">
        <v>132.5</v>
      </c>
      <c r="N56">
        <v>1</v>
      </c>
      <c r="O56" s="49">
        <v>132500</v>
      </c>
      <c r="P56">
        <v>132.5</v>
      </c>
      <c r="Q56">
        <v>132.5</v>
      </c>
      <c r="R56">
        <v>0</v>
      </c>
      <c r="S56">
        <v>0</v>
      </c>
      <c r="T56">
        <v>138.5</v>
      </c>
      <c r="U56">
        <v>138.5</v>
      </c>
      <c r="V56">
        <v>0</v>
      </c>
      <c r="W56">
        <v>0</v>
      </c>
    </row>
    <row r="57" spans="1:23" x14ac:dyDescent="0.4">
      <c r="A57" s="56"/>
      <c r="B57" s="60"/>
      <c r="C57" s="56"/>
      <c r="D57" s="57"/>
      <c r="E57" s="61" t="s">
        <v>328</v>
      </c>
      <c r="F57" s="62">
        <v>507700</v>
      </c>
      <c r="G57" s="62">
        <v>253400</v>
      </c>
      <c r="H57" s="62">
        <v>761100</v>
      </c>
      <c r="L57" t="s">
        <v>384</v>
      </c>
      <c r="M57">
        <v>92</v>
      </c>
      <c r="N57">
        <v>1</v>
      </c>
      <c r="O57" s="49">
        <v>92000</v>
      </c>
      <c r="P57">
        <v>92</v>
      </c>
      <c r="Q57">
        <v>92</v>
      </c>
      <c r="R57">
        <v>0</v>
      </c>
      <c r="S57">
        <v>0</v>
      </c>
      <c r="T57">
        <v>102</v>
      </c>
      <c r="U57">
        <v>102</v>
      </c>
      <c r="V57">
        <v>0</v>
      </c>
      <c r="W57">
        <v>0</v>
      </c>
    </row>
    <row r="58" spans="1:23" x14ac:dyDescent="0.4">
      <c r="A58" s="56"/>
      <c r="B58" s="60"/>
      <c r="C58" s="56"/>
      <c r="D58" s="57"/>
      <c r="E58" s="61" t="s">
        <v>329</v>
      </c>
      <c r="F58" s="62">
        <v>0</v>
      </c>
      <c r="G58" s="62">
        <v>0</v>
      </c>
      <c r="H58" s="62">
        <v>0</v>
      </c>
      <c r="L58" t="s">
        <v>831</v>
      </c>
    </row>
    <row r="59" spans="1:23" x14ac:dyDescent="0.4">
      <c r="A59" s="56"/>
      <c r="B59" s="60"/>
      <c r="C59" s="56"/>
      <c r="D59" s="57"/>
      <c r="E59" s="61" t="s">
        <v>330</v>
      </c>
      <c r="F59" s="62">
        <v>0</v>
      </c>
      <c r="G59" s="62">
        <v>0</v>
      </c>
      <c r="H59" s="62">
        <v>0</v>
      </c>
      <c r="L59" t="s">
        <v>869</v>
      </c>
      <c r="M59">
        <v>20</v>
      </c>
      <c r="N59">
        <v>1</v>
      </c>
      <c r="O59" s="49">
        <v>20000</v>
      </c>
      <c r="P59">
        <v>15.9</v>
      </c>
      <c r="Q59">
        <v>15.9</v>
      </c>
      <c r="R59">
        <v>4.0999999999999996</v>
      </c>
      <c r="S59">
        <v>4.0999999999999996</v>
      </c>
      <c r="T59">
        <v>15.9</v>
      </c>
      <c r="U59">
        <v>15.9</v>
      </c>
      <c r="V59">
        <v>4.0999999999999996</v>
      </c>
      <c r="W59">
        <v>4.0999999999999996</v>
      </c>
    </row>
    <row r="60" spans="1:23" x14ac:dyDescent="0.4">
      <c r="A60" s="56"/>
      <c r="B60" s="60"/>
      <c r="C60" s="56"/>
      <c r="D60" s="57"/>
      <c r="E60" s="61" t="s">
        <v>331</v>
      </c>
      <c r="F60" s="62">
        <v>0</v>
      </c>
      <c r="G60" s="62">
        <v>0</v>
      </c>
      <c r="H60" s="62">
        <v>0</v>
      </c>
      <c r="L60" t="s">
        <v>385</v>
      </c>
    </row>
    <row r="61" spans="1:23" x14ac:dyDescent="0.4">
      <c r="A61" s="56"/>
      <c r="B61" s="60"/>
      <c r="C61" s="56"/>
      <c r="D61" s="57"/>
      <c r="E61" s="61" t="s">
        <v>332</v>
      </c>
      <c r="F61" s="62">
        <v>0</v>
      </c>
      <c r="G61" s="62">
        <v>0</v>
      </c>
      <c r="H61" s="62">
        <v>0</v>
      </c>
      <c r="L61" t="s">
        <v>386</v>
      </c>
      <c r="M61">
        <v>4.0999999999999996</v>
      </c>
      <c r="N61">
        <v>1</v>
      </c>
      <c r="O61" s="49">
        <v>4100</v>
      </c>
      <c r="P61">
        <v>4.0999999999999996</v>
      </c>
      <c r="Q61">
        <v>4.0999999999999996</v>
      </c>
      <c r="R61">
        <v>0</v>
      </c>
      <c r="S61">
        <v>0</v>
      </c>
      <c r="T61">
        <v>4.0999999999999996</v>
      </c>
      <c r="U61">
        <v>4.0999999999999996</v>
      </c>
      <c r="V61">
        <v>0</v>
      </c>
      <c r="W61">
        <v>0</v>
      </c>
    </row>
    <row r="62" spans="1:23" x14ac:dyDescent="0.4">
      <c r="A62" s="56"/>
      <c r="B62" s="60"/>
      <c r="C62" s="56"/>
      <c r="D62" s="57"/>
      <c r="E62" s="61" t="s">
        <v>333</v>
      </c>
      <c r="F62" s="62">
        <v>0</v>
      </c>
      <c r="G62" s="62">
        <v>0</v>
      </c>
      <c r="H62" s="62">
        <v>0</v>
      </c>
      <c r="L62" t="s">
        <v>387</v>
      </c>
    </row>
    <row r="63" spans="1:23" x14ac:dyDescent="0.4">
      <c r="A63" s="56"/>
      <c r="B63" s="60"/>
      <c r="C63" s="56"/>
      <c r="D63" s="57"/>
      <c r="E63" s="61" t="s">
        <v>252</v>
      </c>
      <c r="F63" s="62">
        <v>0</v>
      </c>
      <c r="G63" s="62">
        <v>0</v>
      </c>
      <c r="H63" s="62">
        <v>0</v>
      </c>
      <c r="L63" t="s">
        <v>388</v>
      </c>
      <c r="M63">
        <v>0.6</v>
      </c>
      <c r="N63">
        <v>6</v>
      </c>
      <c r="O63" s="49">
        <v>3600</v>
      </c>
      <c r="P63">
        <v>0</v>
      </c>
      <c r="Q63">
        <v>0</v>
      </c>
      <c r="R63">
        <v>0.6</v>
      </c>
      <c r="S63">
        <v>3.6</v>
      </c>
      <c r="T63">
        <v>0</v>
      </c>
      <c r="U63">
        <v>0</v>
      </c>
      <c r="V63">
        <v>0.6</v>
      </c>
      <c r="W63">
        <v>3.6</v>
      </c>
    </row>
    <row r="64" spans="1:23" x14ac:dyDescent="0.4">
      <c r="A64" s="56"/>
      <c r="B64" s="60"/>
      <c r="C64" s="56"/>
      <c r="D64" s="57"/>
      <c r="E64" s="61" t="s">
        <v>253</v>
      </c>
      <c r="F64" s="62">
        <v>0</v>
      </c>
      <c r="G64" s="62">
        <v>0</v>
      </c>
      <c r="H64" s="62">
        <v>0</v>
      </c>
      <c r="K64" t="s">
        <v>389</v>
      </c>
      <c r="O64" s="49">
        <v>1192400</v>
      </c>
      <c r="Q64">
        <v>1179</v>
      </c>
      <c r="S64">
        <v>13.4</v>
      </c>
      <c r="U64">
        <v>1299</v>
      </c>
      <c r="W64">
        <v>13.4</v>
      </c>
    </row>
    <row r="65" spans="1:23" x14ac:dyDescent="0.4">
      <c r="A65" s="56"/>
      <c r="B65" s="60"/>
      <c r="C65" s="56"/>
      <c r="D65" s="57"/>
      <c r="E65" s="61" t="s">
        <v>254</v>
      </c>
      <c r="F65" s="62">
        <v>0</v>
      </c>
      <c r="G65" s="62">
        <v>0</v>
      </c>
      <c r="H65" s="62">
        <v>0</v>
      </c>
      <c r="K65" t="s">
        <v>390</v>
      </c>
    </row>
    <row r="66" spans="1:23" x14ac:dyDescent="0.4">
      <c r="A66" s="56"/>
      <c r="B66" s="60"/>
      <c r="C66" s="56"/>
      <c r="D66" s="57"/>
      <c r="E66" s="61" t="s">
        <v>255</v>
      </c>
      <c r="F66" s="62">
        <v>31000</v>
      </c>
      <c r="G66" s="62">
        <v>2075679.9999999998</v>
      </c>
      <c r="H66" s="62">
        <v>2106680</v>
      </c>
      <c r="K66" t="s">
        <v>391</v>
      </c>
      <c r="O66" s="49">
        <v>0</v>
      </c>
      <c r="Q66">
        <v>0</v>
      </c>
      <c r="S66">
        <v>0</v>
      </c>
      <c r="U66">
        <v>0</v>
      </c>
      <c r="W66">
        <v>0</v>
      </c>
    </row>
    <row r="67" spans="1:23" x14ac:dyDescent="0.4">
      <c r="A67" s="56"/>
      <c r="B67" s="60"/>
      <c r="C67" s="56"/>
      <c r="D67" s="57"/>
      <c r="E67" s="61" t="s">
        <v>256</v>
      </c>
      <c r="F67" s="62">
        <v>0</v>
      </c>
      <c r="G67" s="62">
        <v>0</v>
      </c>
      <c r="H67" s="62">
        <v>0</v>
      </c>
      <c r="K67" t="s">
        <v>392</v>
      </c>
    </row>
    <row r="68" spans="1:23" x14ac:dyDescent="0.4">
      <c r="A68" s="56"/>
      <c r="B68" s="60"/>
      <c r="C68" s="56"/>
      <c r="D68" s="57"/>
      <c r="E68" s="61" t="s">
        <v>257</v>
      </c>
      <c r="F68" s="62">
        <v>17400</v>
      </c>
      <c r="G68" s="62">
        <v>1076300</v>
      </c>
      <c r="H68" s="62">
        <v>1093700</v>
      </c>
      <c r="K68" t="s">
        <v>393</v>
      </c>
      <c r="O68" s="49">
        <v>0</v>
      </c>
      <c r="Q68">
        <v>0</v>
      </c>
      <c r="S68">
        <v>0</v>
      </c>
      <c r="U68">
        <v>0</v>
      </c>
      <c r="W68">
        <v>0</v>
      </c>
    </row>
    <row r="69" spans="1:23" x14ac:dyDescent="0.4">
      <c r="A69" s="56"/>
      <c r="B69" s="60"/>
      <c r="C69" s="56"/>
      <c r="D69" s="57"/>
      <c r="E69" s="61" t="s">
        <v>258</v>
      </c>
      <c r="F69" s="62">
        <v>0</v>
      </c>
      <c r="G69" s="62">
        <v>225900</v>
      </c>
      <c r="H69" s="62">
        <v>225900</v>
      </c>
      <c r="K69" t="s">
        <v>394</v>
      </c>
    </row>
    <row r="70" spans="1:23" x14ac:dyDescent="0.4">
      <c r="A70" s="56"/>
      <c r="B70" s="60"/>
      <c r="C70" s="56"/>
      <c r="D70" s="57"/>
      <c r="E70" s="61" t="s">
        <v>259</v>
      </c>
      <c r="F70" s="62">
        <v>0</v>
      </c>
      <c r="G70" s="62">
        <v>798100</v>
      </c>
      <c r="H70" s="62">
        <v>798100</v>
      </c>
      <c r="K70" t="s">
        <v>395</v>
      </c>
      <c r="O70" s="49">
        <v>0</v>
      </c>
      <c r="Q70">
        <v>0</v>
      </c>
      <c r="S70">
        <v>0</v>
      </c>
      <c r="U70">
        <v>0</v>
      </c>
      <c r="W70">
        <v>0</v>
      </c>
    </row>
    <row r="71" spans="1:23" x14ac:dyDescent="0.4">
      <c r="A71" s="56"/>
      <c r="B71" s="60"/>
      <c r="C71" s="56"/>
      <c r="D71" s="57"/>
      <c r="E71" s="61" t="s">
        <v>260</v>
      </c>
      <c r="F71" s="62">
        <v>0</v>
      </c>
      <c r="G71" s="62">
        <v>480000</v>
      </c>
      <c r="H71" s="62">
        <v>480000</v>
      </c>
      <c r="K71" t="s">
        <v>396</v>
      </c>
    </row>
    <row r="72" spans="1:23" x14ac:dyDescent="0.4">
      <c r="A72" s="56"/>
      <c r="B72" s="60"/>
      <c r="C72" s="56"/>
      <c r="D72" s="57"/>
      <c r="E72" s="61" t="s">
        <v>261</v>
      </c>
      <c r="F72" s="62">
        <v>0</v>
      </c>
      <c r="G72" s="62">
        <v>195000</v>
      </c>
      <c r="H72" s="62">
        <v>195000</v>
      </c>
      <c r="K72" t="s">
        <v>397</v>
      </c>
      <c r="O72" s="49">
        <v>0</v>
      </c>
      <c r="Q72">
        <v>0</v>
      </c>
      <c r="S72">
        <v>0</v>
      </c>
      <c r="U72">
        <v>0</v>
      </c>
      <c r="W72">
        <v>0</v>
      </c>
    </row>
    <row r="73" spans="1:23" x14ac:dyDescent="0.4">
      <c r="A73" s="56"/>
      <c r="B73" s="60"/>
      <c r="C73" s="56"/>
      <c r="D73" s="57"/>
      <c r="E73" s="61" t="s">
        <v>262</v>
      </c>
      <c r="F73" s="62">
        <v>0</v>
      </c>
      <c r="G73" s="62">
        <v>200000</v>
      </c>
      <c r="H73" s="62">
        <v>200000</v>
      </c>
      <c r="K73" t="s">
        <v>398</v>
      </c>
    </row>
    <row r="74" spans="1:23" x14ac:dyDescent="0.4">
      <c r="A74" s="56"/>
      <c r="B74" s="60"/>
      <c r="C74" s="56"/>
      <c r="D74" s="57"/>
      <c r="E74" s="61" t="s">
        <v>263</v>
      </c>
      <c r="F74" s="62">
        <v>0</v>
      </c>
      <c r="G74" s="62">
        <v>1620800</v>
      </c>
      <c r="H74" s="62">
        <v>1620800</v>
      </c>
      <c r="K74" t="s">
        <v>399</v>
      </c>
      <c r="O74" s="49">
        <v>0</v>
      </c>
      <c r="Q74">
        <v>0</v>
      </c>
      <c r="S74">
        <v>0</v>
      </c>
      <c r="U74">
        <v>0</v>
      </c>
      <c r="W74">
        <v>0</v>
      </c>
    </row>
    <row r="75" spans="1:23" x14ac:dyDescent="0.4">
      <c r="A75" s="56"/>
      <c r="B75" s="60"/>
      <c r="C75" s="56"/>
      <c r="D75" s="57"/>
      <c r="E75" s="61" t="s">
        <v>264</v>
      </c>
      <c r="F75" s="62">
        <v>0</v>
      </c>
      <c r="G75" s="62">
        <v>245000</v>
      </c>
      <c r="H75" s="62">
        <v>245000</v>
      </c>
      <c r="K75" t="s">
        <v>400</v>
      </c>
    </row>
    <row r="76" spans="1:23" x14ac:dyDescent="0.4">
      <c r="A76" s="56"/>
      <c r="B76" s="60"/>
      <c r="C76" s="56"/>
      <c r="D76" s="57"/>
      <c r="E76" s="61" t="s">
        <v>265</v>
      </c>
      <c r="F76" s="62">
        <v>0</v>
      </c>
      <c r="G76" s="62">
        <v>0</v>
      </c>
      <c r="H76" s="62">
        <v>0</v>
      </c>
      <c r="L76" t="s">
        <v>401</v>
      </c>
    </row>
    <row r="77" spans="1:23" x14ac:dyDescent="0.4">
      <c r="A77" s="56"/>
      <c r="B77" s="60"/>
      <c r="C77" s="56"/>
      <c r="D77" s="57"/>
      <c r="E77" s="61" t="s">
        <v>266</v>
      </c>
      <c r="F77" s="62">
        <v>0</v>
      </c>
      <c r="G77" s="62">
        <v>172500</v>
      </c>
      <c r="H77" s="62">
        <v>172500</v>
      </c>
      <c r="L77" t="s">
        <v>870</v>
      </c>
      <c r="M77">
        <v>122</v>
      </c>
      <c r="N77">
        <v>1</v>
      </c>
      <c r="O77" s="49">
        <v>122000</v>
      </c>
      <c r="P77">
        <v>122</v>
      </c>
      <c r="Q77">
        <v>122</v>
      </c>
      <c r="R77">
        <v>0</v>
      </c>
      <c r="S77">
        <v>0</v>
      </c>
      <c r="T77">
        <v>122</v>
      </c>
      <c r="U77">
        <v>122</v>
      </c>
      <c r="V77">
        <v>0</v>
      </c>
      <c r="W77">
        <v>0</v>
      </c>
    </row>
    <row r="78" spans="1:23" x14ac:dyDescent="0.4">
      <c r="A78" s="56"/>
      <c r="B78" s="60"/>
      <c r="C78" s="56"/>
      <c r="D78" s="57"/>
      <c r="E78" s="61" t="s">
        <v>267</v>
      </c>
      <c r="F78" s="62">
        <v>0</v>
      </c>
      <c r="G78" s="62">
        <v>1257600</v>
      </c>
      <c r="H78" s="62">
        <v>1257600</v>
      </c>
      <c r="L78" t="s">
        <v>402</v>
      </c>
      <c r="M78">
        <v>1.6</v>
      </c>
      <c r="N78">
        <v>1</v>
      </c>
      <c r="O78" s="49">
        <v>1600</v>
      </c>
      <c r="P78">
        <v>0</v>
      </c>
      <c r="Q78">
        <v>0</v>
      </c>
      <c r="R78">
        <v>1.6</v>
      </c>
      <c r="S78">
        <v>1.6</v>
      </c>
      <c r="T78">
        <v>0</v>
      </c>
      <c r="U78">
        <v>0</v>
      </c>
      <c r="V78">
        <v>1.6</v>
      </c>
      <c r="W78">
        <v>1.6</v>
      </c>
    </row>
    <row r="79" spans="1:23" x14ac:dyDescent="0.4">
      <c r="A79" s="56"/>
      <c r="B79" s="60"/>
      <c r="C79" s="56"/>
      <c r="D79" s="57"/>
      <c r="E79" s="61" t="s">
        <v>268</v>
      </c>
      <c r="F79" s="62">
        <v>0</v>
      </c>
      <c r="G79" s="62">
        <v>0</v>
      </c>
      <c r="H79" s="62">
        <v>0</v>
      </c>
      <c r="L79" t="s">
        <v>403</v>
      </c>
    </row>
    <row r="80" spans="1:23" x14ac:dyDescent="0.4">
      <c r="A80" s="56"/>
      <c r="B80" s="60"/>
      <c r="C80" s="56"/>
      <c r="D80" s="57"/>
      <c r="E80" s="61" t="s">
        <v>269</v>
      </c>
      <c r="F80" s="62">
        <v>0</v>
      </c>
      <c r="G80" s="62">
        <v>-312000</v>
      </c>
      <c r="H80" s="62">
        <v>-312000</v>
      </c>
      <c r="L80" t="s">
        <v>404</v>
      </c>
      <c r="M80">
        <v>82.7</v>
      </c>
      <c r="N80">
        <v>1</v>
      </c>
      <c r="O80" s="49">
        <v>82700</v>
      </c>
      <c r="P80">
        <v>82</v>
      </c>
      <c r="Q80">
        <v>82</v>
      </c>
      <c r="R80">
        <v>0.7</v>
      </c>
      <c r="S80">
        <v>0.7</v>
      </c>
      <c r="T80">
        <v>82</v>
      </c>
      <c r="U80">
        <v>82</v>
      </c>
      <c r="V80">
        <v>0.7</v>
      </c>
      <c r="W80">
        <v>0.7</v>
      </c>
    </row>
    <row r="81" spans="1:23" x14ac:dyDescent="0.4">
      <c r="A81" s="56"/>
      <c r="B81" s="60"/>
      <c r="C81" s="56"/>
      <c r="D81" s="57"/>
      <c r="L81" t="s">
        <v>871</v>
      </c>
      <c r="M81">
        <v>27.3</v>
      </c>
      <c r="N81">
        <v>1</v>
      </c>
      <c r="O81" s="49">
        <v>27300</v>
      </c>
      <c r="P81">
        <v>25</v>
      </c>
      <c r="Q81">
        <v>25</v>
      </c>
      <c r="R81">
        <v>2.2999999999999998</v>
      </c>
      <c r="S81">
        <v>2.2999999999999998</v>
      </c>
      <c r="T81">
        <v>25</v>
      </c>
      <c r="U81">
        <v>25</v>
      </c>
      <c r="V81">
        <v>2.2999999999999998</v>
      </c>
      <c r="W81">
        <v>2.2999999999999998</v>
      </c>
    </row>
    <row r="82" spans="1:23" x14ac:dyDescent="0.4">
      <c r="A82" s="56"/>
      <c r="B82" s="60"/>
      <c r="C82" s="56"/>
      <c r="D82" s="57"/>
      <c r="L82" t="s">
        <v>790</v>
      </c>
    </row>
    <row r="83" spans="1:23" x14ac:dyDescent="0.4">
      <c r="A83" s="56"/>
      <c r="B83" s="60"/>
      <c r="C83" s="56"/>
      <c r="D83" s="57"/>
      <c r="L83" t="s">
        <v>843</v>
      </c>
      <c r="M83">
        <v>170.8</v>
      </c>
      <c r="N83">
        <v>1</v>
      </c>
      <c r="O83" s="49">
        <v>170800</v>
      </c>
      <c r="P83">
        <v>160</v>
      </c>
      <c r="Q83">
        <v>160</v>
      </c>
      <c r="R83">
        <v>10.8</v>
      </c>
      <c r="S83">
        <v>10.8</v>
      </c>
      <c r="T83">
        <v>160</v>
      </c>
      <c r="U83">
        <v>160</v>
      </c>
      <c r="V83">
        <v>10.8</v>
      </c>
      <c r="W83">
        <v>10.8</v>
      </c>
    </row>
    <row r="84" spans="1:23" x14ac:dyDescent="0.4">
      <c r="A84" s="56"/>
      <c r="B84" s="60"/>
      <c r="C84" s="56"/>
      <c r="D84" s="57"/>
      <c r="L84" t="s">
        <v>872</v>
      </c>
    </row>
    <row r="85" spans="1:23" x14ac:dyDescent="0.4">
      <c r="A85" s="56"/>
      <c r="B85" s="60"/>
      <c r="C85" s="56"/>
      <c r="D85" s="57"/>
      <c r="L85" t="s">
        <v>791</v>
      </c>
      <c r="M85">
        <v>48.8</v>
      </c>
      <c r="N85">
        <v>2</v>
      </c>
      <c r="O85" s="49">
        <v>97600</v>
      </c>
      <c r="P85">
        <v>33</v>
      </c>
      <c r="Q85">
        <v>66</v>
      </c>
      <c r="R85">
        <v>15.8</v>
      </c>
      <c r="S85">
        <v>31.6</v>
      </c>
      <c r="T85">
        <v>33</v>
      </c>
      <c r="U85">
        <v>66</v>
      </c>
      <c r="V85">
        <v>15.8</v>
      </c>
      <c r="W85">
        <v>31.6</v>
      </c>
    </row>
    <row r="86" spans="1:23" x14ac:dyDescent="0.4">
      <c r="A86" s="56"/>
      <c r="B86" s="60"/>
      <c r="C86" s="56"/>
      <c r="D86" s="57"/>
      <c r="L86" t="s">
        <v>792</v>
      </c>
      <c r="M86">
        <v>-9</v>
      </c>
      <c r="N86">
        <v>2</v>
      </c>
      <c r="O86" s="49">
        <v>-18000</v>
      </c>
      <c r="P86">
        <v>0</v>
      </c>
      <c r="Q86">
        <v>0</v>
      </c>
      <c r="R86">
        <v>-9</v>
      </c>
      <c r="S86">
        <v>-18</v>
      </c>
      <c r="T86">
        <v>0</v>
      </c>
      <c r="U86">
        <v>0</v>
      </c>
      <c r="V86">
        <v>-9</v>
      </c>
      <c r="W86">
        <v>-18</v>
      </c>
    </row>
    <row r="87" spans="1:23" x14ac:dyDescent="0.4">
      <c r="A87" s="56"/>
      <c r="B87" s="60"/>
      <c r="C87" s="56"/>
      <c r="D87" s="57"/>
      <c r="L87" t="s">
        <v>405</v>
      </c>
    </row>
    <row r="88" spans="1:23" x14ac:dyDescent="0.4">
      <c r="A88" s="56"/>
      <c r="B88" s="60"/>
      <c r="C88" s="56"/>
      <c r="D88" s="57"/>
      <c r="L88" t="s">
        <v>406</v>
      </c>
      <c r="M88">
        <v>19.7</v>
      </c>
      <c r="N88">
        <v>2.0299999999999998</v>
      </c>
      <c r="O88" s="49">
        <v>39991</v>
      </c>
      <c r="P88">
        <v>0</v>
      </c>
      <c r="Q88">
        <v>0</v>
      </c>
      <c r="R88">
        <v>19.7</v>
      </c>
      <c r="S88">
        <v>39.991</v>
      </c>
      <c r="T88">
        <v>0</v>
      </c>
      <c r="U88">
        <v>0</v>
      </c>
      <c r="V88">
        <v>19.7</v>
      </c>
      <c r="W88">
        <v>39.991</v>
      </c>
    </row>
    <row r="89" spans="1:23" x14ac:dyDescent="0.4">
      <c r="A89" s="56"/>
      <c r="B89" s="60"/>
      <c r="C89" s="56"/>
      <c r="D89" s="57"/>
      <c r="L89" t="s">
        <v>873</v>
      </c>
    </row>
    <row r="90" spans="1:23" x14ac:dyDescent="0.4">
      <c r="A90" s="56"/>
      <c r="B90" s="60"/>
      <c r="C90" s="56"/>
      <c r="D90" s="57"/>
      <c r="L90" t="s">
        <v>874</v>
      </c>
      <c r="M90">
        <v>44.5</v>
      </c>
      <c r="N90">
        <v>3.22</v>
      </c>
      <c r="O90" s="49">
        <v>143290</v>
      </c>
      <c r="P90">
        <v>0</v>
      </c>
      <c r="Q90">
        <v>0</v>
      </c>
      <c r="R90">
        <v>44.5</v>
      </c>
      <c r="S90">
        <v>143.29</v>
      </c>
      <c r="T90">
        <v>0</v>
      </c>
      <c r="U90">
        <v>0</v>
      </c>
      <c r="V90">
        <v>44.5</v>
      </c>
      <c r="W90">
        <v>143.29</v>
      </c>
    </row>
    <row r="91" spans="1:23" x14ac:dyDescent="0.4">
      <c r="A91" s="56"/>
      <c r="B91" s="60"/>
      <c r="C91" s="56"/>
      <c r="D91" s="57"/>
      <c r="L91" t="s">
        <v>407</v>
      </c>
    </row>
    <row r="92" spans="1:23" x14ac:dyDescent="0.4">
      <c r="A92" s="56"/>
      <c r="B92" s="60"/>
      <c r="C92" s="56"/>
      <c r="D92" s="57"/>
      <c r="L92" t="s">
        <v>408</v>
      </c>
      <c r="M92">
        <v>11.5</v>
      </c>
      <c r="N92">
        <v>2.0299999999999998</v>
      </c>
      <c r="O92" s="49">
        <v>23345</v>
      </c>
      <c r="P92">
        <v>0</v>
      </c>
      <c r="Q92">
        <v>0</v>
      </c>
      <c r="R92">
        <v>11.5</v>
      </c>
      <c r="S92">
        <v>23.344999999999999</v>
      </c>
      <c r="T92">
        <v>0</v>
      </c>
      <c r="U92">
        <v>0</v>
      </c>
      <c r="V92">
        <v>11.5</v>
      </c>
      <c r="W92">
        <v>23.344999999999999</v>
      </c>
    </row>
    <row r="93" spans="1:23" x14ac:dyDescent="0.4">
      <c r="A93" s="56"/>
      <c r="B93" s="60"/>
      <c r="C93" s="56"/>
      <c r="D93" s="57"/>
      <c r="L93" t="s">
        <v>409</v>
      </c>
    </row>
    <row r="94" spans="1:23" x14ac:dyDescent="0.4">
      <c r="A94" s="56"/>
      <c r="B94" s="60"/>
      <c r="C94" s="56"/>
      <c r="D94" s="57"/>
      <c r="L94" t="s">
        <v>793</v>
      </c>
      <c r="M94">
        <v>9.6999999999999993</v>
      </c>
      <c r="N94">
        <v>10.44</v>
      </c>
      <c r="O94" s="49">
        <v>101268</v>
      </c>
      <c r="P94">
        <v>0</v>
      </c>
      <c r="Q94">
        <v>0</v>
      </c>
      <c r="R94">
        <v>9.6999999999999993</v>
      </c>
      <c r="S94">
        <v>101.268</v>
      </c>
      <c r="T94">
        <v>0</v>
      </c>
      <c r="U94">
        <v>0</v>
      </c>
      <c r="V94">
        <v>9.6999999999999993</v>
      </c>
      <c r="W94">
        <v>101.268</v>
      </c>
    </row>
    <row r="95" spans="1:23" x14ac:dyDescent="0.4">
      <c r="A95" s="56"/>
      <c r="B95" s="60"/>
      <c r="C95" s="56"/>
      <c r="D95" s="57"/>
      <c r="L95" t="s">
        <v>875</v>
      </c>
    </row>
    <row r="96" spans="1:23" x14ac:dyDescent="0.4">
      <c r="A96" s="56"/>
      <c r="B96" s="60"/>
      <c r="C96" s="56"/>
      <c r="D96" s="57"/>
      <c r="L96" t="s">
        <v>876</v>
      </c>
      <c r="M96">
        <v>14.9</v>
      </c>
      <c r="N96">
        <v>7.19</v>
      </c>
      <c r="O96" s="49">
        <v>107131</v>
      </c>
      <c r="P96">
        <v>0</v>
      </c>
      <c r="Q96">
        <v>0</v>
      </c>
      <c r="R96">
        <v>14.9</v>
      </c>
      <c r="S96">
        <v>107.131</v>
      </c>
      <c r="T96">
        <v>0</v>
      </c>
      <c r="U96">
        <v>0</v>
      </c>
      <c r="V96">
        <v>14.9</v>
      </c>
      <c r="W96">
        <v>107.131</v>
      </c>
    </row>
    <row r="97" spans="1:39" x14ac:dyDescent="0.4">
      <c r="A97" s="56"/>
      <c r="B97" s="60"/>
      <c r="C97" s="56"/>
      <c r="D97" s="57"/>
      <c r="L97" t="s">
        <v>410</v>
      </c>
    </row>
    <row r="98" spans="1:39" x14ac:dyDescent="0.4">
      <c r="A98" s="56"/>
      <c r="B98" s="60"/>
      <c r="C98" s="56"/>
      <c r="D98" s="57"/>
      <c r="L98" t="s">
        <v>411</v>
      </c>
      <c r="M98">
        <v>45</v>
      </c>
      <c r="N98">
        <v>1</v>
      </c>
      <c r="O98" s="49">
        <v>45000</v>
      </c>
      <c r="P98">
        <v>0</v>
      </c>
      <c r="Q98">
        <v>0</v>
      </c>
      <c r="R98">
        <v>45</v>
      </c>
      <c r="S98">
        <v>45</v>
      </c>
      <c r="T98">
        <v>0</v>
      </c>
      <c r="U98">
        <v>0</v>
      </c>
      <c r="V98">
        <v>45</v>
      </c>
      <c r="W98">
        <v>45</v>
      </c>
    </row>
    <row r="99" spans="1:39" x14ac:dyDescent="0.4">
      <c r="A99" s="56"/>
      <c r="B99" s="60"/>
      <c r="C99" s="56"/>
      <c r="D99" s="57"/>
      <c r="K99" t="s">
        <v>412</v>
      </c>
      <c r="O99" s="49">
        <v>944025</v>
      </c>
      <c r="Q99">
        <v>455</v>
      </c>
      <c r="S99">
        <v>489.02499999999998</v>
      </c>
      <c r="U99">
        <v>455</v>
      </c>
      <c r="W99">
        <v>489.02499999999998</v>
      </c>
    </row>
    <row r="100" spans="1:39" x14ac:dyDescent="0.4">
      <c r="A100" s="56"/>
      <c r="B100" s="59"/>
      <c r="C100" s="56"/>
      <c r="D100" s="56"/>
      <c r="I100" s="56"/>
      <c r="J100" s="56"/>
      <c r="K100" s="56" t="s">
        <v>413</v>
      </c>
      <c r="L100" s="56"/>
      <c r="M100" s="56"/>
      <c r="N100" s="56"/>
      <c r="O100" s="57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</row>
    <row r="101" spans="1:39" x14ac:dyDescent="0.4">
      <c r="A101" s="56"/>
      <c r="B101" s="59"/>
      <c r="C101" s="56"/>
      <c r="D101" s="56"/>
      <c r="E101" s="56"/>
      <c r="F101" s="57"/>
      <c r="G101" s="57"/>
      <c r="H101" s="57"/>
      <c r="I101" s="56"/>
      <c r="J101" s="56"/>
      <c r="K101" s="56" t="s">
        <v>414</v>
      </c>
      <c r="L101" s="56"/>
      <c r="M101" s="56"/>
      <c r="N101" s="56"/>
      <c r="O101" s="57">
        <v>0</v>
      </c>
      <c r="P101" s="56"/>
      <c r="Q101" s="56">
        <v>0</v>
      </c>
      <c r="R101" s="56"/>
      <c r="S101" s="56">
        <v>0</v>
      </c>
      <c r="T101" s="56"/>
      <c r="U101" s="56">
        <v>0</v>
      </c>
      <c r="V101" s="56"/>
      <c r="W101" s="56">
        <v>0</v>
      </c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</row>
    <row r="102" spans="1:39" x14ac:dyDescent="0.4">
      <c r="A102" s="56"/>
      <c r="B102" s="59"/>
      <c r="C102" s="56"/>
      <c r="D102" s="56"/>
      <c r="E102" s="56"/>
      <c r="F102" s="57"/>
      <c r="G102" s="57"/>
      <c r="H102" s="57"/>
      <c r="I102" s="56"/>
      <c r="J102" s="56"/>
      <c r="K102" s="56" t="s">
        <v>415</v>
      </c>
      <c r="L102" s="56"/>
      <c r="M102" s="56"/>
      <c r="N102" s="56"/>
      <c r="O102" s="57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</row>
    <row r="103" spans="1:39" x14ac:dyDescent="0.4">
      <c r="A103" s="56"/>
      <c r="B103" s="59"/>
      <c r="C103" s="56"/>
      <c r="D103" s="56"/>
      <c r="E103" s="56"/>
      <c r="F103" s="57"/>
      <c r="G103" s="57"/>
      <c r="H103" s="57"/>
      <c r="I103" s="56"/>
      <c r="J103" s="56"/>
      <c r="K103" s="56"/>
      <c r="L103" s="56" t="s">
        <v>877</v>
      </c>
      <c r="M103" s="56"/>
      <c r="N103" s="56"/>
      <c r="O103" s="57"/>
      <c r="P103" s="56"/>
      <c r="Q103" s="56"/>
      <c r="R103" s="58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</row>
    <row r="104" spans="1:39" x14ac:dyDescent="0.4">
      <c r="A104" s="56"/>
      <c r="B104" s="59"/>
      <c r="C104" s="56"/>
      <c r="D104" s="56"/>
      <c r="E104" s="56"/>
      <c r="F104" s="57"/>
      <c r="G104" s="57"/>
      <c r="H104" s="57"/>
      <c r="I104" s="56"/>
      <c r="J104" s="56"/>
      <c r="K104" s="56"/>
      <c r="L104" s="56" t="s">
        <v>878</v>
      </c>
      <c r="M104" s="56">
        <v>4.8</v>
      </c>
      <c r="N104" s="56">
        <v>2</v>
      </c>
      <c r="O104" s="57">
        <v>9600</v>
      </c>
      <c r="P104" s="56">
        <v>4.5</v>
      </c>
      <c r="Q104" s="56">
        <v>9</v>
      </c>
      <c r="R104" s="56">
        <v>0.3</v>
      </c>
      <c r="S104" s="56">
        <v>0.6</v>
      </c>
      <c r="T104" s="56">
        <v>4.5</v>
      </c>
      <c r="U104" s="56">
        <v>9</v>
      </c>
      <c r="V104" s="56">
        <v>0.3</v>
      </c>
      <c r="W104" s="56">
        <v>0.6</v>
      </c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</row>
    <row r="105" spans="1:39" x14ac:dyDescent="0.4">
      <c r="A105" s="56"/>
      <c r="B105" s="59"/>
      <c r="C105" s="56"/>
      <c r="D105" s="56"/>
      <c r="E105" s="56"/>
      <c r="F105" s="57"/>
      <c r="G105" s="57"/>
      <c r="H105" s="57"/>
      <c r="I105" s="56"/>
      <c r="J105" s="56"/>
      <c r="K105" s="56" t="s">
        <v>416</v>
      </c>
      <c r="L105" s="56"/>
      <c r="M105" s="56"/>
      <c r="N105" s="56"/>
      <c r="O105" s="57">
        <v>9600</v>
      </c>
      <c r="P105" s="56"/>
      <c r="Q105" s="56">
        <v>9</v>
      </c>
      <c r="R105" s="56"/>
      <c r="S105" s="56">
        <v>0.6</v>
      </c>
      <c r="T105" s="56"/>
      <c r="U105" s="56">
        <v>9</v>
      </c>
      <c r="V105" s="56"/>
      <c r="W105" s="56">
        <v>0.6</v>
      </c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</row>
    <row r="106" spans="1:39" x14ac:dyDescent="0.4">
      <c r="A106" s="56"/>
      <c r="B106" s="59"/>
      <c r="C106" s="56"/>
      <c r="D106" s="56"/>
      <c r="E106" s="56"/>
      <c r="F106" s="57"/>
      <c r="G106" s="57"/>
      <c r="H106" s="57"/>
      <c r="I106" s="56"/>
      <c r="J106" s="56"/>
      <c r="K106" s="56" t="s">
        <v>417</v>
      </c>
      <c r="L106" s="56"/>
      <c r="M106" s="56"/>
      <c r="N106" s="56"/>
      <c r="O106" s="57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</row>
    <row r="107" spans="1:39" x14ac:dyDescent="0.4">
      <c r="A107" s="56"/>
      <c r="B107" s="59"/>
      <c r="C107" s="56"/>
      <c r="D107" s="56"/>
      <c r="E107" s="56"/>
      <c r="F107" s="57"/>
      <c r="G107" s="57"/>
      <c r="H107" s="57"/>
      <c r="I107" s="56"/>
      <c r="J107" s="56"/>
      <c r="K107" s="56" t="s">
        <v>418</v>
      </c>
      <c r="L107" s="56"/>
      <c r="M107" s="56"/>
      <c r="N107" s="56"/>
      <c r="O107" s="57">
        <v>0</v>
      </c>
      <c r="P107" s="56"/>
      <c r="Q107" s="56">
        <v>0</v>
      </c>
      <c r="R107" s="56"/>
      <c r="S107" s="56">
        <v>0</v>
      </c>
      <c r="T107" s="56"/>
      <c r="U107" s="56">
        <v>0</v>
      </c>
      <c r="V107" s="56"/>
      <c r="W107" s="56">
        <v>0</v>
      </c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</row>
    <row r="108" spans="1:39" x14ac:dyDescent="0.4">
      <c r="A108" s="56"/>
      <c r="B108" s="59"/>
      <c r="C108" s="56"/>
      <c r="D108" s="56"/>
      <c r="E108" s="56"/>
      <c r="F108" s="57"/>
      <c r="G108" s="57"/>
      <c r="H108" s="57"/>
      <c r="I108" s="56"/>
      <c r="J108" s="56"/>
      <c r="K108" s="56" t="s">
        <v>419</v>
      </c>
      <c r="L108" s="56"/>
      <c r="M108" s="56"/>
      <c r="N108" s="56"/>
      <c r="O108" s="57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</row>
    <row r="109" spans="1:39" x14ac:dyDescent="0.4">
      <c r="A109" s="56"/>
      <c r="B109" s="59"/>
      <c r="C109" s="56"/>
      <c r="D109" s="56"/>
      <c r="E109" s="56"/>
      <c r="F109" s="57"/>
      <c r="G109" s="57"/>
      <c r="H109" s="57"/>
      <c r="I109" s="56"/>
      <c r="J109" s="56"/>
      <c r="K109" s="56" t="s">
        <v>420</v>
      </c>
      <c r="L109" s="56"/>
      <c r="M109" s="56"/>
      <c r="N109" s="56"/>
      <c r="O109" s="57">
        <v>0</v>
      </c>
      <c r="P109" s="56"/>
      <c r="Q109" s="56">
        <v>0</v>
      </c>
      <c r="R109" s="56"/>
      <c r="S109" s="56">
        <v>0</v>
      </c>
      <c r="T109" s="56"/>
      <c r="U109" s="56">
        <v>0</v>
      </c>
      <c r="V109" s="56"/>
      <c r="W109" s="56">
        <v>0</v>
      </c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</row>
    <row r="110" spans="1:39" x14ac:dyDescent="0.4">
      <c r="A110" s="56"/>
      <c r="B110" s="59"/>
      <c r="C110" s="56"/>
      <c r="D110" s="56"/>
      <c r="E110" s="56"/>
      <c r="F110" s="57"/>
      <c r="G110" s="57"/>
      <c r="H110" s="57"/>
      <c r="I110" s="56"/>
      <c r="J110" s="56"/>
      <c r="K110" s="56" t="s">
        <v>421</v>
      </c>
      <c r="L110" s="56"/>
      <c r="M110" s="56"/>
      <c r="N110" s="56"/>
      <c r="O110" s="57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</row>
    <row r="111" spans="1:39" x14ac:dyDescent="0.4">
      <c r="A111" s="56"/>
      <c r="B111" s="59"/>
      <c r="C111" s="56"/>
      <c r="D111" s="56"/>
      <c r="E111" s="56"/>
      <c r="F111" s="57"/>
      <c r="G111" s="57"/>
      <c r="H111" s="57"/>
      <c r="I111" s="56"/>
      <c r="J111" s="56"/>
      <c r="K111" s="56" t="s">
        <v>422</v>
      </c>
      <c r="L111" s="56"/>
      <c r="M111" s="56"/>
      <c r="N111" s="56"/>
      <c r="O111" s="57">
        <v>0</v>
      </c>
      <c r="P111" s="56"/>
      <c r="Q111" s="56">
        <v>0</v>
      </c>
      <c r="R111" s="56"/>
      <c r="S111" s="56">
        <v>0</v>
      </c>
      <c r="T111" s="56"/>
      <c r="U111" s="56">
        <v>0</v>
      </c>
      <c r="V111" s="56"/>
      <c r="W111" s="56">
        <v>0</v>
      </c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</row>
    <row r="112" spans="1:39" x14ac:dyDescent="0.4">
      <c r="A112" s="56"/>
      <c r="B112" s="59"/>
      <c r="C112" s="56"/>
      <c r="D112" s="56"/>
      <c r="E112" s="56"/>
      <c r="F112" s="57"/>
      <c r="G112" s="57"/>
      <c r="H112" s="57"/>
      <c r="I112" s="56"/>
      <c r="J112" s="56" t="s">
        <v>230</v>
      </c>
      <c r="K112" s="56"/>
      <c r="L112" s="56"/>
      <c r="M112" s="56"/>
      <c r="N112" s="56"/>
      <c r="O112" s="57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</row>
    <row r="113" spans="1:39" x14ac:dyDescent="0.4">
      <c r="A113" s="56"/>
      <c r="B113" s="59"/>
      <c r="C113" s="56"/>
      <c r="D113" s="56"/>
      <c r="E113" s="56"/>
      <c r="F113" s="57"/>
      <c r="G113" s="57"/>
      <c r="H113" s="57"/>
      <c r="I113" s="56"/>
      <c r="J113" s="56"/>
      <c r="K113" s="56" t="s">
        <v>423</v>
      </c>
      <c r="L113" s="56"/>
      <c r="M113" s="56"/>
      <c r="N113" s="56"/>
      <c r="O113" s="57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</row>
    <row r="114" spans="1:39" x14ac:dyDescent="0.4">
      <c r="A114" s="56"/>
      <c r="B114" s="59"/>
      <c r="C114" s="56"/>
      <c r="D114" s="56"/>
      <c r="E114" s="56"/>
      <c r="F114" s="57"/>
      <c r="G114" s="57"/>
      <c r="H114" s="57"/>
      <c r="I114" s="56"/>
      <c r="J114" s="56"/>
      <c r="K114" s="56"/>
      <c r="L114" s="56" t="s">
        <v>424</v>
      </c>
      <c r="M114" s="56"/>
      <c r="N114" s="56"/>
      <c r="O114" s="57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</row>
    <row r="115" spans="1:39" x14ac:dyDescent="0.4">
      <c r="A115" s="56"/>
      <c r="B115" s="59"/>
      <c r="C115" s="56"/>
      <c r="D115" s="56"/>
      <c r="E115" s="56"/>
      <c r="F115" s="57"/>
      <c r="G115" s="57"/>
      <c r="H115" s="57"/>
      <c r="I115" s="56"/>
      <c r="J115" s="56"/>
      <c r="K115" s="56"/>
      <c r="L115" s="56" t="s">
        <v>425</v>
      </c>
      <c r="M115" s="56">
        <v>155</v>
      </c>
      <c r="N115" s="56">
        <v>1</v>
      </c>
      <c r="O115" s="57">
        <v>155000</v>
      </c>
      <c r="P115" s="56">
        <v>75.8</v>
      </c>
      <c r="Q115" s="56">
        <v>75.8</v>
      </c>
      <c r="R115" s="56">
        <v>79.2</v>
      </c>
      <c r="S115" s="56">
        <v>79.2</v>
      </c>
      <c r="T115" s="56">
        <v>75.8</v>
      </c>
      <c r="U115" s="56">
        <v>75.8</v>
      </c>
      <c r="V115" s="56">
        <v>79.2</v>
      </c>
      <c r="W115" s="56">
        <v>79.2</v>
      </c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</row>
    <row r="116" spans="1:39" x14ac:dyDescent="0.4">
      <c r="A116" s="56"/>
      <c r="B116" s="59"/>
      <c r="C116" s="56"/>
      <c r="D116" s="56"/>
      <c r="E116" s="56"/>
      <c r="F116" s="57"/>
      <c r="G116" s="57"/>
      <c r="H116" s="57"/>
      <c r="I116" s="56"/>
      <c r="J116" s="56"/>
      <c r="K116" s="56"/>
      <c r="L116" s="56" t="s">
        <v>426</v>
      </c>
      <c r="M116" s="56">
        <v>6.2</v>
      </c>
      <c r="N116" s="56">
        <v>45</v>
      </c>
      <c r="O116" s="57">
        <v>279000</v>
      </c>
      <c r="P116" s="56">
        <v>6.2</v>
      </c>
      <c r="Q116" s="56">
        <v>279</v>
      </c>
      <c r="R116" s="56">
        <v>0</v>
      </c>
      <c r="S116" s="56">
        <v>0</v>
      </c>
      <c r="T116" s="56">
        <v>6.2</v>
      </c>
      <c r="U116" s="56">
        <v>279</v>
      </c>
      <c r="V116" s="56">
        <v>0</v>
      </c>
      <c r="W116" s="56">
        <v>0</v>
      </c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</row>
    <row r="117" spans="1:39" x14ac:dyDescent="0.4">
      <c r="A117" s="56"/>
      <c r="B117" s="59"/>
      <c r="C117" s="56"/>
      <c r="D117" s="56"/>
      <c r="E117" s="56"/>
      <c r="F117" s="57"/>
      <c r="G117" s="57"/>
      <c r="H117" s="57"/>
      <c r="I117" s="56"/>
      <c r="J117" s="56"/>
      <c r="K117" s="56"/>
      <c r="L117" s="56" t="s">
        <v>427</v>
      </c>
      <c r="M117" s="56">
        <v>1.1000000000000001</v>
      </c>
      <c r="N117" s="56">
        <v>19.8</v>
      </c>
      <c r="O117" s="57">
        <v>21780</v>
      </c>
      <c r="P117" s="56">
        <v>0</v>
      </c>
      <c r="Q117" s="56">
        <v>0</v>
      </c>
      <c r="R117" s="56">
        <v>1.1000000000000001</v>
      </c>
      <c r="S117" s="56">
        <v>21.78</v>
      </c>
      <c r="T117" s="56">
        <v>0</v>
      </c>
      <c r="U117" s="56">
        <v>0</v>
      </c>
      <c r="V117" s="56">
        <v>1.1000000000000001</v>
      </c>
      <c r="W117" s="56">
        <v>21.78</v>
      </c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</row>
    <row r="118" spans="1:39" x14ac:dyDescent="0.4">
      <c r="A118" s="56"/>
      <c r="B118" s="59"/>
      <c r="C118" s="56"/>
      <c r="D118" s="56"/>
      <c r="E118" s="56"/>
      <c r="F118" s="57"/>
      <c r="G118" s="57"/>
      <c r="H118" s="57"/>
      <c r="I118" s="56"/>
      <c r="J118" s="56"/>
      <c r="K118" s="56"/>
      <c r="L118" s="56" t="s">
        <v>428</v>
      </c>
      <c r="M118" s="56">
        <v>1.4</v>
      </c>
      <c r="N118" s="56">
        <v>5</v>
      </c>
      <c r="O118" s="57">
        <v>7000</v>
      </c>
      <c r="P118" s="56">
        <v>0</v>
      </c>
      <c r="Q118" s="56">
        <v>0</v>
      </c>
      <c r="R118" s="56">
        <v>1.4</v>
      </c>
      <c r="S118" s="56">
        <v>7</v>
      </c>
      <c r="T118" s="56">
        <v>0</v>
      </c>
      <c r="U118" s="56">
        <v>0</v>
      </c>
      <c r="V118" s="56">
        <v>1.4</v>
      </c>
      <c r="W118" s="56">
        <v>7</v>
      </c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</row>
    <row r="119" spans="1:39" x14ac:dyDescent="0.4">
      <c r="A119" s="56"/>
      <c r="B119" s="59"/>
      <c r="C119" s="56"/>
      <c r="D119" s="56"/>
      <c r="E119" s="56"/>
      <c r="F119" s="57"/>
      <c r="G119" s="57"/>
      <c r="H119" s="57"/>
      <c r="I119" s="56"/>
      <c r="J119" s="56"/>
      <c r="K119" s="56"/>
      <c r="L119" s="56" t="s">
        <v>794</v>
      </c>
      <c r="M119" s="56">
        <v>1.1000000000000001</v>
      </c>
      <c r="N119" s="56">
        <v>19.899999999999999</v>
      </c>
      <c r="O119" s="57">
        <v>21890</v>
      </c>
      <c r="P119" s="56">
        <v>0</v>
      </c>
      <c r="Q119" s="56">
        <v>0</v>
      </c>
      <c r="R119" s="56">
        <v>1.1000000000000001</v>
      </c>
      <c r="S119" s="56">
        <v>21.89</v>
      </c>
      <c r="T119" s="56">
        <v>0</v>
      </c>
      <c r="U119" s="56">
        <v>0</v>
      </c>
      <c r="V119" s="56">
        <v>1.1000000000000001</v>
      </c>
      <c r="W119" s="57">
        <v>21.89</v>
      </c>
      <c r="X119" s="56"/>
      <c r="Y119" s="56"/>
      <c r="Z119" s="56"/>
      <c r="AA119" s="56"/>
      <c r="AB119" s="56"/>
      <c r="AC119" s="56"/>
      <c r="AD119" s="56"/>
      <c r="AE119" s="57"/>
      <c r="AF119" s="56"/>
      <c r="AG119" s="56"/>
      <c r="AH119" s="56"/>
      <c r="AI119" s="56"/>
      <c r="AJ119" s="56"/>
      <c r="AK119" s="56"/>
      <c r="AL119" s="56"/>
      <c r="AM119" s="56"/>
    </row>
    <row r="120" spans="1:39" x14ac:dyDescent="0.4">
      <c r="A120" s="56"/>
      <c r="B120" s="59"/>
      <c r="C120" s="56"/>
      <c r="D120" s="56"/>
      <c r="E120" s="56"/>
      <c r="F120" s="57"/>
      <c r="G120" s="57"/>
      <c r="H120" s="57"/>
      <c r="I120" s="56"/>
      <c r="J120" s="56"/>
      <c r="K120" s="56"/>
      <c r="L120" s="56" t="s">
        <v>795</v>
      </c>
      <c r="M120" s="56">
        <v>1.4</v>
      </c>
      <c r="N120" s="56">
        <v>1.7</v>
      </c>
      <c r="O120" s="57">
        <v>2380</v>
      </c>
      <c r="P120" s="56">
        <v>0</v>
      </c>
      <c r="Q120" s="56">
        <v>0</v>
      </c>
      <c r="R120" s="56">
        <v>1.4</v>
      </c>
      <c r="S120" s="56">
        <v>2.38</v>
      </c>
      <c r="T120" s="56">
        <v>0</v>
      </c>
      <c r="U120" s="56">
        <v>0</v>
      </c>
      <c r="V120" s="56">
        <v>1.4</v>
      </c>
      <c r="W120" s="57">
        <v>2.38</v>
      </c>
      <c r="X120" s="56"/>
      <c r="Y120" s="56"/>
      <c r="Z120" s="56"/>
      <c r="AA120" s="56"/>
      <c r="AB120" s="56"/>
      <c r="AC120" s="56"/>
      <c r="AD120" s="56"/>
      <c r="AE120" s="57"/>
      <c r="AF120" s="56"/>
      <c r="AG120" s="56"/>
      <c r="AH120" s="56"/>
      <c r="AI120" s="56"/>
      <c r="AJ120" s="56"/>
      <c r="AK120" s="56"/>
      <c r="AL120" s="56"/>
      <c r="AM120" s="56"/>
    </row>
    <row r="121" spans="1:39" x14ac:dyDescent="0.4">
      <c r="A121" s="56"/>
      <c r="B121" s="59"/>
      <c r="C121" s="56"/>
      <c r="D121" s="56"/>
      <c r="E121" s="56"/>
      <c r="F121" s="57"/>
      <c r="G121" s="57"/>
      <c r="H121" s="57"/>
      <c r="I121" s="56"/>
      <c r="J121" s="56"/>
      <c r="K121" s="56"/>
      <c r="L121" s="56" t="s">
        <v>429</v>
      </c>
      <c r="M121" s="56">
        <v>1.5</v>
      </c>
      <c r="N121" s="56">
        <v>3</v>
      </c>
      <c r="O121" s="57">
        <v>4500</v>
      </c>
      <c r="P121" s="56">
        <v>0</v>
      </c>
      <c r="Q121" s="56">
        <v>0</v>
      </c>
      <c r="R121" s="56">
        <v>1.5</v>
      </c>
      <c r="S121" s="56">
        <v>4.5</v>
      </c>
      <c r="T121" s="56">
        <v>0</v>
      </c>
      <c r="U121" s="56">
        <v>0</v>
      </c>
      <c r="V121" s="56">
        <v>1.5</v>
      </c>
      <c r="W121" s="56">
        <v>4.5</v>
      </c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</row>
    <row r="122" spans="1:39" x14ac:dyDescent="0.4">
      <c r="A122" s="56"/>
      <c r="B122" s="59"/>
      <c r="C122" s="56"/>
      <c r="D122" s="56"/>
      <c r="E122" s="56"/>
      <c r="F122" s="57"/>
      <c r="G122" s="57"/>
      <c r="H122" s="57"/>
      <c r="I122" s="56"/>
      <c r="J122" s="56"/>
      <c r="K122" s="56"/>
      <c r="L122" s="56" t="s">
        <v>796</v>
      </c>
      <c r="M122" s="56">
        <v>0.4</v>
      </c>
      <c r="N122" s="56">
        <v>5</v>
      </c>
      <c r="O122" s="57">
        <v>2000</v>
      </c>
      <c r="P122" s="56">
        <v>0</v>
      </c>
      <c r="Q122" s="56">
        <v>0</v>
      </c>
      <c r="R122" s="56">
        <v>0.4</v>
      </c>
      <c r="S122" s="56">
        <v>2</v>
      </c>
      <c r="T122" s="56">
        <v>0</v>
      </c>
      <c r="U122" s="56">
        <v>0</v>
      </c>
      <c r="V122" s="56">
        <v>0.4</v>
      </c>
      <c r="W122" s="56">
        <v>2</v>
      </c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</row>
    <row r="123" spans="1:39" x14ac:dyDescent="0.4">
      <c r="A123" s="56"/>
      <c r="B123" s="59"/>
      <c r="C123" s="56"/>
      <c r="D123" s="56"/>
      <c r="E123" s="56"/>
      <c r="F123" s="57"/>
      <c r="G123" s="57"/>
      <c r="H123" s="57"/>
      <c r="I123" s="56"/>
      <c r="J123" s="56"/>
      <c r="K123" s="56"/>
      <c r="L123" s="56" t="s">
        <v>757</v>
      </c>
      <c r="M123" s="56">
        <v>1.4</v>
      </c>
      <c r="N123" s="56">
        <v>51</v>
      </c>
      <c r="O123" s="57">
        <v>71400</v>
      </c>
      <c r="P123" s="56">
        <v>0</v>
      </c>
      <c r="Q123" s="56">
        <v>0</v>
      </c>
      <c r="R123" s="56">
        <v>1.4</v>
      </c>
      <c r="S123" s="56">
        <v>71.400000000000006</v>
      </c>
      <c r="T123" s="58">
        <v>0</v>
      </c>
      <c r="U123" s="56">
        <v>0</v>
      </c>
      <c r="V123" s="56">
        <v>1.4</v>
      </c>
      <c r="W123" s="58">
        <v>71.400000000000006</v>
      </c>
      <c r="X123" s="56"/>
      <c r="Y123" s="56"/>
      <c r="Z123" s="56"/>
      <c r="AA123" s="58"/>
      <c r="AB123" s="56"/>
      <c r="AC123" s="56"/>
      <c r="AD123" s="56"/>
      <c r="AE123" s="58"/>
      <c r="AF123" s="56"/>
      <c r="AG123" s="56"/>
      <c r="AH123" s="56"/>
      <c r="AI123" s="56"/>
      <c r="AJ123" s="56"/>
      <c r="AK123" s="56"/>
      <c r="AL123" s="56"/>
      <c r="AM123" s="56"/>
    </row>
    <row r="124" spans="1:39" x14ac:dyDescent="0.4">
      <c r="A124" s="56"/>
      <c r="B124" s="59"/>
      <c r="C124" s="56"/>
      <c r="D124" s="56"/>
      <c r="E124" s="56"/>
      <c r="F124" s="57"/>
      <c r="G124" s="57"/>
      <c r="H124" s="57"/>
      <c r="I124" s="56"/>
      <c r="J124" s="56"/>
      <c r="K124" s="56"/>
      <c r="L124" s="56" t="s">
        <v>758</v>
      </c>
      <c r="M124" s="56">
        <v>0.3</v>
      </c>
      <c r="N124" s="56">
        <v>3</v>
      </c>
      <c r="O124" s="57">
        <v>900</v>
      </c>
      <c r="P124" s="56">
        <v>0</v>
      </c>
      <c r="Q124" s="56">
        <v>0</v>
      </c>
      <c r="R124" s="56">
        <v>0.3</v>
      </c>
      <c r="S124" s="56">
        <v>0.9</v>
      </c>
      <c r="T124" s="56">
        <v>0</v>
      </c>
      <c r="U124" s="56">
        <v>0</v>
      </c>
      <c r="V124" s="56">
        <v>0.3</v>
      </c>
      <c r="W124" s="56">
        <v>0.9</v>
      </c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</row>
    <row r="125" spans="1:39" x14ac:dyDescent="0.4">
      <c r="A125" s="56"/>
      <c r="B125" s="59"/>
      <c r="C125" s="56"/>
      <c r="D125" s="56"/>
      <c r="E125" s="56"/>
      <c r="F125" s="57"/>
      <c r="G125" s="57"/>
      <c r="H125" s="57"/>
      <c r="I125" s="56"/>
      <c r="J125" s="56"/>
      <c r="K125" s="56"/>
      <c r="L125" s="56" t="s">
        <v>759</v>
      </c>
      <c r="M125" s="56">
        <v>1</v>
      </c>
      <c r="N125" s="56">
        <v>5</v>
      </c>
      <c r="O125" s="57">
        <v>5000</v>
      </c>
      <c r="P125" s="56">
        <v>0</v>
      </c>
      <c r="Q125" s="56">
        <v>0</v>
      </c>
      <c r="R125" s="56">
        <v>1</v>
      </c>
      <c r="S125" s="56">
        <v>5</v>
      </c>
      <c r="T125" s="56">
        <v>0</v>
      </c>
      <c r="U125" s="56">
        <v>0</v>
      </c>
      <c r="V125" s="56">
        <v>1</v>
      </c>
      <c r="W125" s="56">
        <v>5</v>
      </c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</row>
    <row r="126" spans="1:39" x14ac:dyDescent="0.4">
      <c r="A126" s="56"/>
      <c r="B126" s="59"/>
      <c r="C126" s="56"/>
      <c r="D126" s="56"/>
      <c r="E126" s="56"/>
      <c r="F126" s="57"/>
      <c r="G126" s="57"/>
      <c r="H126" s="57"/>
      <c r="I126" s="56"/>
      <c r="J126" s="56"/>
      <c r="K126" s="56"/>
      <c r="L126" s="56" t="s">
        <v>797</v>
      </c>
      <c r="M126" s="56">
        <v>0.2</v>
      </c>
      <c r="N126" s="56">
        <v>2</v>
      </c>
      <c r="O126" s="57">
        <v>400</v>
      </c>
      <c r="P126" s="56">
        <v>0</v>
      </c>
      <c r="Q126" s="56">
        <v>0</v>
      </c>
      <c r="R126" s="56">
        <v>0.2</v>
      </c>
      <c r="S126" s="56">
        <v>0.4</v>
      </c>
      <c r="T126" s="56">
        <v>0</v>
      </c>
      <c r="U126" s="56">
        <v>0</v>
      </c>
      <c r="V126" s="56">
        <v>0.2</v>
      </c>
      <c r="W126" s="56">
        <v>0.4</v>
      </c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</row>
    <row r="127" spans="1:39" x14ac:dyDescent="0.4">
      <c r="A127" s="56"/>
      <c r="B127" s="59"/>
      <c r="C127" s="56"/>
      <c r="D127" s="56"/>
      <c r="E127" s="56"/>
      <c r="F127" s="57"/>
      <c r="G127" s="57"/>
      <c r="H127" s="57"/>
      <c r="I127" s="56"/>
      <c r="J127" s="56"/>
      <c r="K127" s="56"/>
      <c r="L127" s="56" t="s">
        <v>430</v>
      </c>
      <c r="M127" s="56">
        <v>1</v>
      </c>
      <c r="N127" s="56">
        <v>12</v>
      </c>
      <c r="O127" s="57">
        <v>12000</v>
      </c>
      <c r="P127" s="56">
        <v>0</v>
      </c>
      <c r="Q127" s="56">
        <v>0</v>
      </c>
      <c r="R127" s="56">
        <v>1</v>
      </c>
      <c r="S127" s="56">
        <v>12</v>
      </c>
      <c r="T127" s="56">
        <v>0</v>
      </c>
      <c r="U127" s="56">
        <v>0</v>
      </c>
      <c r="V127" s="56">
        <v>1</v>
      </c>
      <c r="W127" s="56">
        <v>12</v>
      </c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</row>
    <row r="128" spans="1:39" x14ac:dyDescent="0.4">
      <c r="A128" s="56"/>
      <c r="B128" s="59"/>
      <c r="C128" s="56"/>
      <c r="D128" s="56"/>
      <c r="E128" s="56"/>
      <c r="F128" s="57"/>
      <c r="G128" s="57"/>
      <c r="H128" s="57"/>
      <c r="I128" s="56"/>
      <c r="J128" s="56"/>
      <c r="K128" s="56"/>
      <c r="L128" s="56" t="s">
        <v>798</v>
      </c>
      <c r="M128" s="56">
        <v>0.2</v>
      </c>
      <c r="N128" s="56">
        <v>2</v>
      </c>
      <c r="O128" s="57">
        <v>400</v>
      </c>
      <c r="P128" s="56">
        <v>0</v>
      </c>
      <c r="Q128" s="56">
        <v>0</v>
      </c>
      <c r="R128" s="56">
        <v>0.2</v>
      </c>
      <c r="S128" s="56">
        <v>0.4</v>
      </c>
      <c r="T128" s="56">
        <v>0</v>
      </c>
      <c r="U128" s="56">
        <v>0</v>
      </c>
      <c r="V128" s="56">
        <v>0.2</v>
      </c>
      <c r="W128" s="56">
        <v>0.4</v>
      </c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</row>
    <row r="129" spans="1:39" x14ac:dyDescent="0.4">
      <c r="A129" s="56"/>
      <c r="B129" s="59"/>
      <c r="C129" s="56"/>
      <c r="D129" s="56"/>
      <c r="E129" s="56"/>
      <c r="F129" s="57"/>
      <c r="G129" s="57"/>
      <c r="H129" s="57"/>
      <c r="I129" s="56"/>
      <c r="J129" s="56"/>
      <c r="K129" s="56"/>
      <c r="L129" s="56" t="s">
        <v>799</v>
      </c>
      <c r="M129" s="56">
        <v>0.4</v>
      </c>
      <c r="N129" s="56">
        <v>2</v>
      </c>
      <c r="O129" s="57">
        <v>800</v>
      </c>
      <c r="P129" s="56">
        <v>0</v>
      </c>
      <c r="Q129" s="56">
        <v>0</v>
      </c>
      <c r="R129" s="56">
        <v>0.4</v>
      </c>
      <c r="S129" s="56">
        <v>0.8</v>
      </c>
      <c r="T129" s="56">
        <v>0</v>
      </c>
      <c r="U129" s="56">
        <v>0</v>
      </c>
      <c r="V129" s="56">
        <v>0.4</v>
      </c>
      <c r="W129" s="56">
        <v>0.8</v>
      </c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</row>
    <row r="130" spans="1:39" x14ac:dyDescent="0.4">
      <c r="A130" s="56"/>
      <c r="B130" s="59"/>
      <c r="C130" s="56"/>
      <c r="D130" s="56"/>
      <c r="E130" s="56"/>
      <c r="F130" s="57"/>
      <c r="G130" s="57"/>
      <c r="H130" s="57"/>
      <c r="I130" s="56"/>
      <c r="J130" s="56"/>
      <c r="K130" s="56"/>
      <c r="L130" s="56" t="s">
        <v>800</v>
      </c>
      <c r="M130" s="56">
        <v>1.4</v>
      </c>
      <c r="N130" s="56">
        <v>68</v>
      </c>
      <c r="O130" s="57">
        <v>95200</v>
      </c>
      <c r="P130" s="56">
        <v>0</v>
      </c>
      <c r="Q130" s="56">
        <v>0</v>
      </c>
      <c r="R130" s="56">
        <v>1.4</v>
      </c>
      <c r="S130" s="56">
        <v>95.2</v>
      </c>
      <c r="T130" s="56">
        <v>0</v>
      </c>
      <c r="U130" s="56">
        <v>0</v>
      </c>
      <c r="V130" s="56">
        <v>1.4</v>
      </c>
      <c r="W130" s="56">
        <v>95.2</v>
      </c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</row>
    <row r="131" spans="1:39" x14ac:dyDescent="0.4">
      <c r="A131" s="56"/>
      <c r="B131" s="59"/>
      <c r="C131" s="56"/>
      <c r="D131" s="56"/>
      <c r="E131" s="56"/>
      <c r="F131" s="57"/>
      <c r="G131" s="57"/>
      <c r="H131" s="57"/>
      <c r="I131" s="56"/>
      <c r="J131" s="56"/>
      <c r="K131" s="56"/>
      <c r="L131" s="56" t="s">
        <v>832</v>
      </c>
      <c r="M131" s="56">
        <v>0.3</v>
      </c>
      <c r="N131" s="56">
        <v>2</v>
      </c>
      <c r="O131" s="57">
        <v>600</v>
      </c>
      <c r="P131" s="56">
        <v>0</v>
      </c>
      <c r="Q131" s="56">
        <v>0</v>
      </c>
      <c r="R131" s="56">
        <v>0.3</v>
      </c>
      <c r="S131" s="56">
        <v>0.6</v>
      </c>
      <c r="T131" s="56">
        <v>0</v>
      </c>
      <c r="U131" s="56">
        <v>0</v>
      </c>
      <c r="V131" s="56">
        <v>0.3</v>
      </c>
      <c r="W131" s="56">
        <v>0.6</v>
      </c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</row>
    <row r="132" spans="1:39" x14ac:dyDescent="0.4">
      <c r="A132" s="56"/>
      <c r="B132" s="59"/>
      <c r="C132" s="56"/>
      <c r="D132" s="56"/>
      <c r="E132" s="56"/>
      <c r="F132" s="57"/>
      <c r="G132" s="57"/>
      <c r="H132" s="57"/>
      <c r="I132" s="56"/>
      <c r="J132" s="56"/>
      <c r="K132" s="56"/>
      <c r="L132" s="56" t="s">
        <v>801</v>
      </c>
      <c r="M132" s="56">
        <v>1</v>
      </c>
      <c r="N132" s="56">
        <v>5</v>
      </c>
      <c r="O132" s="57">
        <v>5000</v>
      </c>
      <c r="P132" s="56">
        <v>0</v>
      </c>
      <c r="Q132" s="56">
        <v>0</v>
      </c>
      <c r="R132" s="56">
        <v>1</v>
      </c>
      <c r="S132" s="56">
        <v>5</v>
      </c>
      <c r="T132" s="56">
        <v>0</v>
      </c>
      <c r="U132" s="56">
        <v>0</v>
      </c>
      <c r="V132" s="56">
        <v>1</v>
      </c>
      <c r="W132" s="56">
        <v>5</v>
      </c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</row>
    <row r="133" spans="1:39" x14ac:dyDescent="0.4">
      <c r="A133" s="56"/>
      <c r="B133" s="59"/>
      <c r="C133" s="56"/>
      <c r="D133" s="56"/>
      <c r="E133" s="56"/>
      <c r="F133" s="57"/>
      <c r="G133" s="57"/>
      <c r="H133" s="57"/>
      <c r="I133" s="56"/>
      <c r="J133" s="56"/>
      <c r="K133" s="56"/>
      <c r="L133" s="56" t="s">
        <v>802</v>
      </c>
      <c r="M133" s="56">
        <v>0.2</v>
      </c>
      <c r="N133" s="56">
        <v>2</v>
      </c>
      <c r="O133" s="57">
        <v>400</v>
      </c>
      <c r="P133" s="56">
        <v>0</v>
      </c>
      <c r="Q133" s="56">
        <v>0</v>
      </c>
      <c r="R133" s="56">
        <v>0.2</v>
      </c>
      <c r="S133" s="56">
        <v>0.4</v>
      </c>
      <c r="T133" s="56">
        <v>0</v>
      </c>
      <c r="U133" s="56">
        <v>0</v>
      </c>
      <c r="V133" s="56">
        <v>0.2</v>
      </c>
      <c r="W133" s="56">
        <v>0.4</v>
      </c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</row>
    <row r="134" spans="1:39" x14ac:dyDescent="0.4">
      <c r="A134" s="56"/>
      <c r="B134" s="59"/>
      <c r="C134" s="56"/>
      <c r="D134" s="56"/>
      <c r="E134" s="56"/>
      <c r="F134" s="57"/>
      <c r="G134" s="57"/>
      <c r="H134" s="57"/>
      <c r="I134" s="56"/>
      <c r="J134" s="56"/>
      <c r="K134" s="56"/>
      <c r="L134" s="56" t="s">
        <v>803</v>
      </c>
      <c r="M134" s="56">
        <v>1</v>
      </c>
      <c r="N134" s="56">
        <v>8</v>
      </c>
      <c r="O134" s="57">
        <v>8000</v>
      </c>
      <c r="P134" s="56">
        <v>0</v>
      </c>
      <c r="Q134" s="56">
        <v>0</v>
      </c>
      <c r="R134" s="56">
        <v>1</v>
      </c>
      <c r="S134" s="56">
        <v>8</v>
      </c>
      <c r="T134" s="58">
        <v>0</v>
      </c>
      <c r="U134" s="56">
        <v>0</v>
      </c>
      <c r="V134" s="56">
        <v>1</v>
      </c>
      <c r="W134" s="56">
        <v>8</v>
      </c>
      <c r="X134" s="56"/>
      <c r="Y134" s="56"/>
      <c r="Z134" s="56"/>
      <c r="AA134" s="58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</row>
    <row r="135" spans="1:39" x14ac:dyDescent="0.4">
      <c r="A135" s="56"/>
      <c r="B135" s="59"/>
      <c r="C135" s="56"/>
      <c r="D135" s="56"/>
      <c r="E135" s="56"/>
      <c r="F135" s="57"/>
      <c r="G135" s="57"/>
      <c r="H135" s="57"/>
      <c r="I135" s="56"/>
      <c r="J135" s="56"/>
      <c r="K135" s="56"/>
      <c r="L135" s="56" t="s">
        <v>431</v>
      </c>
      <c r="M135" s="56">
        <v>6</v>
      </c>
      <c r="N135" s="56">
        <v>45</v>
      </c>
      <c r="O135" s="57">
        <v>270000</v>
      </c>
      <c r="P135" s="56">
        <v>6</v>
      </c>
      <c r="Q135" s="56">
        <v>270</v>
      </c>
      <c r="R135" s="56">
        <v>0</v>
      </c>
      <c r="S135" s="56">
        <v>0</v>
      </c>
      <c r="T135" s="56">
        <v>6</v>
      </c>
      <c r="U135" s="56">
        <v>270</v>
      </c>
      <c r="V135" s="56">
        <v>0</v>
      </c>
      <c r="W135" s="56">
        <v>0</v>
      </c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</row>
    <row r="136" spans="1:39" x14ac:dyDescent="0.4">
      <c r="A136" s="56"/>
      <c r="B136" s="59"/>
      <c r="C136" s="56"/>
      <c r="D136" s="56"/>
      <c r="E136" s="56"/>
      <c r="F136" s="57"/>
      <c r="G136" s="57"/>
      <c r="H136" s="57"/>
      <c r="I136" s="56"/>
      <c r="J136" s="56"/>
      <c r="K136" s="56"/>
      <c r="L136" s="56" t="s">
        <v>760</v>
      </c>
      <c r="M136" s="56">
        <v>0.2</v>
      </c>
      <c r="N136" s="56">
        <v>66</v>
      </c>
      <c r="O136" s="57">
        <v>13200</v>
      </c>
      <c r="P136" s="56">
        <v>0</v>
      </c>
      <c r="Q136" s="56">
        <v>0</v>
      </c>
      <c r="R136" s="56">
        <v>0.2</v>
      </c>
      <c r="S136" s="56">
        <v>13.2</v>
      </c>
      <c r="T136" s="56">
        <v>0</v>
      </c>
      <c r="U136" s="56">
        <v>0</v>
      </c>
      <c r="V136" s="56">
        <v>0.2</v>
      </c>
      <c r="W136" s="56">
        <v>13.2</v>
      </c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</row>
    <row r="137" spans="1:39" x14ac:dyDescent="0.4">
      <c r="A137" s="56"/>
      <c r="B137" s="59"/>
      <c r="C137" s="56"/>
      <c r="D137" s="56"/>
      <c r="E137" s="56"/>
      <c r="F137" s="57"/>
      <c r="G137" s="57"/>
      <c r="H137" s="57"/>
      <c r="I137" s="56"/>
      <c r="J137" s="56"/>
      <c r="K137" s="56"/>
      <c r="L137" s="56" t="s">
        <v>432</v>
      </c>
      <c r="M137" s="56">
        <v>0.4</v>
      </c>
      <c r="N137" s="56">
        <v>17</v>
      </c>
      <c r="O137" s="57">
        <v>6800</v>
      </c>
      <c r="P137" s="56">
        <v>0</v>
      </c>
      <c r="Q137" s="56">
        <v>0</v>
      </c>
      <c r="R137" s="56">
        <v>0.4</v>
      </c>
      <c r="S137" s="56">
        <v>6.8</v>
      </c>
      <c r="T137" s="56">
        <v>0</v>
      </c>
      <c r="U137" s="56">
        <v>0</v>
      </c>
      <c r="V137" s="56">
        <v>0.4</v>
      </c>
      <c r="W137" s="56">
        <v>6.8</v>
      </c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</row>
    <row r="138" spans="1:39" x14ac:dyDescent="0.4">
      <c r="A138" s="56"/>
      <c r="B138" s="59"/>
      <c r="C138" s="56"/>
      <c r="D138" s="56"/>
      <c r="E138" s="56"/>
      <c r="F138" s="57"/>
      <c r="G138" s="57"/>
      <c r="H138" s="57"/>
      <c r="I138" s="56"/>
      <c r="J138" s="56"/>
      <c r="K138" s="56"/>
      <c r="L138" s="56" t="s">
        <v>433</v>
      </c>
      <c r="M138" s="56">
        <v>0.1</v>
      </c>
      <c r="N138" s="56">
        <v>1</v>
      </c>
      <c r="O138" s="57">
        <v>100</v>
      </c>
      <c r="P138" s="56">
        <v>0</v>
      </c>
      <c r="Q138" s="56">
        <v>0</v>
      </c>
      <c r="R138" s="56">
        <v>0.1</v>
      </c>
      <c r="S138" s="56">
        <v>0.1</v>
      </c>
      <c r="T138" s="56">
        <v>0</v>
      </c>
      <c r="U138" s="56">
        <v>0</v>
      </c>
      <c r="V138" s="56">
        <v>0.1</v>
      </c>
      <c r="W138" s="56">
        <v>0.1</v>
      </c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</row>
    <row r="139" spans="1:39" x14ac:dyDescent="0.4">
      <c r="A139" s="56"/>
      <c r="B139" s="59"/>
      <c r="C139" s="56"/>
      <c r="D139" s="56"/>
      <c r="E139" s="56"/>
      <c r="F139" s="57"/>
      <c r="G139" s="57"/>
      <c r="H139" s="57"/>
      <c r="I139" s="56"/>
      <c r="J139" s="56"/>
      <c r="K139" s="56"/>
      <c r="L139" s="56" t="s">
        <v>804</v>
      </c>
      <c r="M139" s="56">
        <v>0.2</v>
      </c>
      <c r="N139" s="56">
        <v>79</v>
      </c>
      <c r="O139" s="57">
        <v>15800</v>
      </c>
      <c r="P139" s="56">
        <v>0</v>
      </c>
      <c r="Q139" s="56">
        <v>0</v>
      </c>
      <c r="R139" s="56">
        <v>0.2</v>
      </c>
      <c r="S139" s="56">
        <v>15.8</v>
      </c>
      <c r="T139" s="56">
        <v>0</v>
      </c>
      <c r="U139" s="56">
        <v>0</v>
      </c>
      <c r="V139" s="56">
        <v>0.2</v>
      </c>
      <c r="W139" s="56">
        <v>15.8</v>
      </c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</row>
    <row r="140" spans="1:39" x14ac:dyDescent="0.4">
      <c r="A140" s="56"/>
      <c r="B140" s="59"/>
      <c r="C140" s="56"/>
      <c r="D140" s="56"/>
      <c r="E140" s="56"/>
      <c r="F140" s="57"/>
      <c r="G140" s="57"/>
      <c r="H140" s="57"/>
      <c r="I140" s="56"/>
      <c r="J140" s="56"/>
      <c r="K140" s="56"/>
      <c r="L140" s="56" t="s">
        <v>805</v>
      </c>
      <c r="M140" s="56">
        <v>0.4</v>
      </c>
      <c r="N140" s="56">
        <v>11</v>
      </c>
      <c r="O140" s="57">
        <v>4400</v>
      </c>
      <c r="P140" s="56">
        <v>0</v>
      </c>
      <c r="Q140" s="56">
        <v>0</v>
      </c>
      <c r="R140" s="56">
        <v>0.4</v>
      </c>
      <c r="S140" s="56">
        <v>4.4000000000000004</v>
      </c>
      <c r="T140" s="56">
        <v>0</v>
      </c>
      <c r="U140" s="56">
        <v>0</v>
      </c>
      <c r="V140" s="56">
        <v>0.4</v>
      </c>
      <c r="W140" s="56">
        <v>4.4000000000000004</v>
      </c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</row>
    <row r="141" spans="1:39" x14ac:dyDescent="0.4">
      <c r="A141" s="56"/>
      <c r="B141" s="59"/>
      <c r="C141" s="56"/>
      <c r="D141" s="56"/>
      <c r="E141" s="56"/>
      <c r="F141" s="57"/>
      <c r="G141" s="57"/>
      <c r="H141" s="57"/>
      <c r="I141" s="56"/>
      <c r="J141" s="57"/>
      <c r="K141" s="56"/>
      <c r="L141" s="56" t="s">
        <v>806</v>
      </c>
      <c r="M141" s="56">
        <v>0</v>
      </c>
      <c r="N141" s="57">
        <v>8</v>
      </c>
      <c r="O141" s="57">
        <v>0</v>
      </c>
      <c r="P141" s="56">
        <v>0.2</v>
      </c>
      <c r="Q141" s="56">
        <v>1.6</v>
      </c>
      <c r="R141" s="56">
        <v>-0.2</v>
      </c>
      <c r="S141" s="56">
        <v>-1.6</v>
      </c>
      <c r="T141" s="56">
        <v>0.2</v>
      </c>
      <c r="U141" s="56">
        <v>1.6</v>
      </c>
      <c r="V141" s="56">
        <v>-0.2</v>
      </c>
      <c r="W141" s="56">
        <v>-1.6</v>
      </c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</row>
    <row r="142" spans="1:39" x14ac:dyDescent="0.4">
      <c r="A142" s="56"/>
      <c r="B142" s="59"/>
      <c r="C142" s="56"/>
      <c r="D142" s="56"/>
      <c r="E142" s="56"/>
      <c r="F142" s="57"/>
      <c r="G142" s="57"/>
      <c r="H142" s="57"/>
      <c r="I142" s="56"/>
      <c r="J142" s="56"/>
      <c r="K142" s="56"/>
      <c r="L142" s="56" t="s">
        <v>761</v>
      </c>
      <c r="M142" s="56">
        <v>-0.1</v>
      </c>
      <c r="N142" s="56">
        <v>10</v>
      </c>
      <c r="O142" s="57">
        <v>-1000</v>
      </c>
      <c r="P142" s="56">
        <v>-0.1</v>
      </c>
      <c r="Q142" s="56">
        <v>-1</v>
      </c>
      <c r="R142" s="56">
        <v>0</v>
      </c>
      <c r="S142" s="56">
        <v>0</v>
      </c>
      <c r="T142" s="56">
        <v>-0.1</v>
      </c>
      <c r="U142" s="56">
        <v>-1</v>
      </c>
      <c r="V142" s="56">
        <v>0</v>
      </c>
      <c r="W142" s="56">
        <v>0</v>
      </c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</row>
    <row r="143" spans="1:39" x14ac:dyDescent="0.4">
      <c r="A143" s="56"/>
      <c r="B143" s="59"/>
      <c r="C143" s="56"/>
      <c r="D143" s="56"/>
      <c r="E143" s="56"/>
      <c r="F143" s="57"/>
      <c r="G143" s="57"/>
      <c r="H143" s="57"/>
      <c r="I143" s="56"/>
      <c r="J143" s="56"/>
      <c r="K143" s="56"/>
      <c r="L143" s="56" t="s">
        <v>434</v>
      </c>
      <c r="M143" s="56"/>
      <c r="N143" s="56"/>
      <c r="O143" s="57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</row>
    <row r="144" spans="1:39" x14ac:dyDescent="0.4">
      <c r="A144" s="56"/>
      <c r="B144" s="59"/>
      <c r="C144" s="56"/>
      <c r="D144" s="56"/>
      <c r="E144" s="56"/>
      <c r="F144" s="57"/>
      <c r="G144" s="57"/>
      <c r="H144" s="57"/>
      <c r="I144" s="56"/>
      <c r="J144" s="58"/>
      <c r="K144" s="56"/>
      <c r="L144" s="56" t="s">
        <v>435</v>
      </c>
      <c r="M144" s="56">
        <v>7</v>
      </c>
      <c r="N144" s="58">
        <v>4</v>
      </c>
      <c r="O144" s="57">
        <v>28000</v>
      </c>
      <c r="P144" s="56">
        <v>7</v>
      </c>
      <c r="Q144" s="56">
        <v>28</v>
      </c>
      <c r="R144" s="56">
        <v>0</v>
      </c>
      <c r="S144" s="56">
        <v>0</v>
      </c>
      <c r="T144" s="56">
        <v>7</v>
      </c>
      <c r="U144" s="56">
        <v>28</v>
      </c>
      <c r="V144" s="56">
        <v>0</v>
      </c>
      <c r="W144" s="56">
        <v>0</v>
      </c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</row>
    <row r="145" spans="1:39" x14ac:dyDescent="0.4">
      <c r="A145" s="56"/>
      <c r="B145" s="59"/>
      <c r="C145" s="56"/>
      <c r="D145" s="56"/>
      <c r="E145" s="56"/>
      <c r="F145" s="57"/>
      <c r="G145" s="57"/>
      <c r="H145" s="57"/>
      <c r="I145" s="56"/>
      <c r="J145" s="56"/>
      <c r="K145" s="56"/>
      <c r="L145" s="56" t="s">
        <v>781</v>
      </c>
      <c r="M145" s="56">
        <v>1.8</v>
      </c>
      <c r="N145" s="56">
        <v>4</v>
      </c>
      <c r="O145" s="57">
        <v>7200</v>
      </c>
      <c r="P145" s="56">
        <v>1.6</v>
      </c>
      <c r="Q145" s="56">
        <v>6.4</v>
      </c>
      <c r="R145" s="56">
        <v>0.2</v>
      </c>
      <c r="S145" s="56">
        <v>0.8</v>
      </c>
      <c r="T145" s="56">
        <v>1.6</v>
      </c>
      <c r="U145" s="56">
        <v>6.4</v>
      </c>
      <c r="V145" s="56">
        <v>0.2</v>
      </c>
      <c r="W145" s="56">
        <v>0.8</v>
      </c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</row>
    <row r="146" spans="1:39" x14ac:dyDescent="0.4">
      <c r="A146" s="56"/>
      <c r="B146" s="59"/>
      <c r="C146" s="56"/>
      <c r="D146" s="56"/>
      <c r="E146" s="56"/>
      <c r="F146" s="57"/>
      <c r="G146" s="57"/>
      <c r="H146" s="57"/>
      <c r="I146" s="56"/>
      <c r="J146" s="56"/>
      <c r="K146" s="56"/>
      <c r="L146" s="56" t="s">
        <v>436</v>
      </c>
      <c r="M146" s="56"/>
      <c r="N146" s="56"/>
      <c r="O146" s="57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</row>
    <row r="147" spans="1:39" x14ac:dyDescent="0.4">
      <c r="A147" s="56"/>
      <c r="B147" s="59"/>
      <c r="C147" s="56"/>
      <c r="D147" s="56"/>
      <c r="E147" s="56"/>
      <c r="F147" s="57"/>
      <c r="G147" s="57"/>
      <c r="H147" s="57"/>
      <c r="I147" s="56"/>
      <c r="J147" s="56"/>
      <c r="K147" s="56"/>
      <c r="L147" s="56" t="s">
        <v>437</v>
      </c>
      <c r="M147" s="56">
        <v>13.7</v>
      </c>
      <c r="N147" s="56">
        <v>45</v>
      </c>
      <c r="O147" s="57">
        <v>616500</v>
      </c>
      <c r="P147" s="56">
        <v>13.7</v>
      </c>
      <c r="Q147" s="56">
        <v>616.5</v>
      </c>
      <c r="R147" s="56">
        <v>0</v>
      </c>
      <c r="S147" s="56">
        <v>0</v>
      </c>
      <c r="T147" s="56">
        <v>13.7</v>
      </c>
      <c r="U147" s="56">
        <v>616.5</v>
      </c>
      <c r="V147" s="56">
        <v>0</v>
      </c>
      <c r="W147" s="56">
        <v>0</v>
      </c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</row>
    <row r="148" spans="1:39" x14ac:dyDescent="0.4">
      <c r="A148" s="56"/>
      <c r="B148" s="59"/>
      <c r="C148" s="56"/>
      <c r="D148" s="56"/>
      <c r="E148" s="56"/>
      <c r="F148" s="57"/>
      <c r="G148" s="57"/>
      <c r="H148" s="57"/>
      <c r="I148" s="56"/>
      <c r="J148" s="56"/>
      <c r="K148" s="56"/>
      <c r="L148" s="56" t="s">
        <v>438</v>
      </c>
      <c r="M148" s="56"/>
      <c r="N148" s="56"/>
      <c r="O148" s="57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</row>
    <row r="149" spans="1:39" x14ac:dyDescent="0.4">
      <c r="A149" s="56"/>
      <c r="B149" s="59"/>
      <c r="C149" s="56"/>
      <c r="D149" s="56"/>
      <c r="E149" s="56"/>
      <c r="F149" s="57"/>
      <c r="G149" s="57"/>
      <c r="H149" s="57"/>
      <c r="I149" s="56"/>
      <c r="J149" s="56"/>
      <c r="K149" s="56"/>
      <c r="L149" s="56" t="s">
        <v>439</v>
      </c>
      <c r="M149" s="56">
        <v>0.7</v>
      </c>
      <c r="N149" s="56">
        <v>20</v>
      </c>
      <c r="O149" s="57">
        <v>14000</v>
      </c>
      <c r="P149" s="56">
        <v>0.7</v>
      </c>
      <c r="Q149" s="56">
        <v>14</v>
      </c>
      <c r="R149" s="56">
        <v>0</v>
      </c>
      <c r="S149" s="56">
        <v>0</v>
      </c>
      <c r="T149" s="56">
        <v>0.7</v>
      </c>
      <c r="U149" s="56">
        <v>14</v>
      </c>
      <c r="V149" s="56">
        <v>0</v>
      </c>
      <c r="W149" s="56">
        <v>0</v>
      </c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</row>
    <row r="150" spans="1:39" x14ac:dyDescent="0.4">
      <c r="A150" s="56"/>
      <c r="B150" s="59"/>
      <c r="C150" s="56"/>
      <c r="D150" s="56"/>
      <c r="E150" s="56"/>
      <c r="F150" s="57"/>
      <c r="G150" s="57"/>
      <c r="H150" s="57"/>
      <c r="I150" s="56"/>
      <c r="J150" s="56"/>
      <c r="K150" s="56"/>
      <c r="L150" s="56" t="s">
        <v>440</v>
      </c>
      <c r="M150" s="56">
        <v>2.6</v>
      </c>
      <c r="N150" s="56">
        <v>17.5</v>
      </c>
      <c r="O150" s="57">
        <v>45500</v>
      </c>
      <c r="P150" s="56">
        <v>0</v>
      </c>
      <c r="Q150" s="56">
        <v>0</v>
      </c>
      <c r="R150" s="56">
        <v>2.6</v>
      </c>
      <c r="S150" s="56">
        <v>45.5</v>
      </c>
      <c r="T150" s="56">
        <v>0</v>
      </c>
      <c r="U150" s="56">
        <v>0</v>
      </c>
      <c r="V150" s="56">
        <v>2.6</v>
      </c>
      <c r="W150" s="56">
        <v>45.5</v>
      </c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</row>
    <row r="151" spans="1:39" x14ac:dyDescent="0.4">
      <c r="A151" s="56"/>
      <c r="B151" s="59"/>
      <c r="C151" s="56"/>
      <c r="D151" s="56"/>
      <c r="E151" s="56"/>
      <c r="F151" s="57"/>
      <c r="G151" s="57"/>
      <c r="H151" s="57"/>
      <c r="I151" s="56"/>
      <c r="J151" s="56"/>
      <c r="K151" s="56"/>
      <c r="L151" s="56" t="s">
        <v>807</v>
      </c>
      <c r="M151" s="56">
        <v>2.6</v>
      </c>
      <c r="N151" s="56">
        <v>19.3</v>
      </c>
      <c r="O151" s="57">
        <v>50180</v>
      </c>
      <c r="P151" s="56">
        <v>0</v>
      </c>
      <c r="Q151" s="56">
        <v>0</v>
      </c>
      <c r="R151" s="56">
        <v>2.6</v>
      </c>
      <c r="S151" s="56">
        <v>50.18</v>
      </c>
      <c r="T151" s="56">
        <v>0</v>
      </c>
      <c r="U151" s="56">
        <v>0</v>
      </c>
      <c r="V151" s="56">
        <v>2.6</v>
      </c>
      <c r="W151" s="56">
        <v>50.18</v>
      </c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</row>
    <row r="152" spans="1:39" x14ac:dyDescent="0.4">
      <c r="A152" s="56"/>
      <c r="B152" s="59"/>
      <c r="C152" s="56"/>
      <c r="D152" s="56"/>
      <c r="E152" s="56"/>
      <c r="F152" s="57"/>
      <c r="G152" s="57"/>
      <c r="H152" s="57"/>
      <c r="I152" s="56"/>
      <c r="J152" s="56"/>
      <c r="K152" s="56"/>
      <c r="L152" s="56" t="s">
        <v>441</v>
      </c>
      <c r="M152" s="56">
        <v>3.8</v>
      </c>
      <c r="N152" s="56">
        <v>3.9</v>
      </c>
      <c r="O152" s="57">
        <v>14820</v>
      </c>
      <c r="P152" s="56">
        <v>0</v>
      </c>
      <c r="Q152" s="56">
        <v>0</v>
      </c>
      <c r="R152" s="56">
        <v>3.8</v>
      </c>
      <c r="S152" s="56">
        <v>14.82</v>
      </c>
      <c r="T152" s="56">
        <v>0</v>
      </c>
      <c r="U152" s="56">
        <v>0</v>
      </c>
      <c r="V152" s="56">
        <v>3.8</v>
      </c>
      <c r="W152" s="56">
        <v>14.82</v>
      </c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</row>
    <row r="153" spans="1:39" x14ac:dyDescent="0.4">
      <c r="A153" s="56"/>
      <c r="B153" s="59"/>
      <c r="C153" s="56"/>
      <c r="D153" s="56"/>
      <c r="E153" s="56"/>
      <c r="F153" s="57"/>
      <c r="G153" s="57"/>
      <c r="H153" s="57"/>
      <c r="I153" s="56"/>
      <c r="J153" s="56"/>
      <c r="K153" s="56"/>
      <c r="L153" s="56" t="s">
        <v>808</v>
      </c>
      <c r="M153" s="56">
        <v>3.8</v>
      </c>
      <c r="N153" s="56">
        <v>0.7</v>
      </c>
      <c r="O153" s="57">
        <v>2660</v>
      </c>
      <c r="P153" s="56">
        <v>0</v>
      </c>
      <c r="Q153" s="56">
        <v>0</v>
      </c>
      <c r="R153" s="56">
        <v>3.8</v>
      </c>
      <c r="S153" s="56">
        <v>2.66</v>
      </c>
      <c r="T153" s="56">
        <v>0</v>
      </c>
      <c r="U153" s="56">
        <v>0</v>
      </c>
      <c r="V153" s="56">
        <v>3.8</v>
      </c>
      <c r="W153" s="56">
        <v>2.66</v>
      </c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</row>
    <row r="154" spans="1:39" x14ac:dyDescent="0.4">
      <c r="A154" s="56"/>
      <c r="B154" s="59"/>
      <c r="C154" s="56"/>
      <c r="D154" s="56"/>
      <c r="E154" s="56"/>
      <c r="F154" s="57"/>
      <c r="G154" s="57"/>
      <c r="H154" s="57"/>
      <c r="I154" s="56"/>
      <c r="J154" s="56"/>
      <c r="K154" s="56"/>
      <c r="L154" s="56" t="s">
        <v>442</v>
      </c>
      <c r="M154" s="56">
        <v>0.3</v>
      </c>
      <c r="N154" s="56">
        <v>5</v>
      </c>
      <c r="O154" s="57">
        <v>1500</v>
      </c>
      <c r="P154" s="56">
        <v>0</v>
      </c>
      <c r="Q154" s="56">
        <v>0</v>
      </c>
      <c r="R154" s="56">
        <v>0.3</v>
      </c>
      <c r="S154" s="56">
        <v>1.5</v>
      </c>
      <c r="T154" s="56">
        <v>0</v>
      </c>
      <c r="U154" s="56">
        <v>0</v>
      </c>
      <c r="V154" s="56">
        <v>0.3</v>
      </c>
      <c r="W154" s="56">
        <v>1.5</v>
      </c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</row>
    <row r="155" spans="1:39" x14ac:dyDescent="0.4">
      <c r="A155" s="56"/>
      <c r="B155" s="59"/>
      <c r="C155" s="56"/>
      <c r="D155" s="56"/>
      <c r="E155" s="56"/>
      <c r="F155" s="57"/>
      <c r="G155" s="57"/>
      <c r="H155" s="57"/>
      <c r="I155" s="56"/>
      <c r="J155" s="56"/>
      <c r="K155" s="56"/>
      <c r="L155" s="56" t="s">
        <v>443</v>
      </c>
      <c r="M155" s="56"/>
      <c r="N155" s="56"/>
      <c r="O155" s="57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</row>
    <row r="156" spans="1:39" x14ac:dyDescent="0.4">
      <c r="A156" s="56"/>
      <c r="B156" s="59"/>
      <c r="C156" s="56"/>
      <c r="D156" s="56"/>
      <c r="E156" s="56"/>
      <c r="F156" s="57"/>
      <c r="G156" s="57"/>
      <c r="H156" s="57"/>
      <c r="I156" s="56"/>
      <c r="J156" s="56"/>
      <c r="K156" s="56"/>
      <c r="L156" s="56" t="s">
        <v>833</v>
      </c>
      <c r="M156" s="56"/>
      <c r="N156" s="56"/>
      <c r="O156" s="57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</row>
    <row r="157" spans="1:39" x14ac:dyDescent="0.4">
      <c r="A157" s="56"/>
      <c r="B157" s="59"/>
      <c r="C157" s="56"/>
      <c r="D157" s="56"/>
      <c r="E157" s="56"/>
      <c r="F157" s="57"/>
      <c r="G157" s="57"/>
      <c r="H157" s="57"/>
      <c r="I157" s="56"/>
      <c r="J157" s="56"/>
      <c r="K157" s="56"/>
      <c r="L157" s="56" t="s">
        <v>834</v>
      </c>
      <c r="M157" s="56">
        <v>0.8</v>
      </c>
      <c r="N157" s="56">
        <v>17.5</v>
      </c>
      <c r="O157" s="57">
        <v>14000</v>
      </c>
      <c r="P157" s="56">
        <v>0</v>
      </c>
      <c r="Q157" s="56">
        <v>0</v>
      </c>
      <c r="R157" s="56">
        <v>0.8</v>
      </c>
      <c r="S157" s="56">
        <v>14</v>
      </c>
      <c r="T157" s="56">
        <v>0</v>
      </c>
      <c r="U157" s="56">
        <v>0</v>
      </c>
      <c r="V157" s="56">
        <v>0.8</v>
      </c>
      <c r="W157" s="56">
        <v>14</v>
      </c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</row>
    <row r="158" spans="1:39" x14ac:dyDescent="0.4">
      <c r="A158" s="56"/>
      <c r="B158" s="59"/>
      <c r="C158" s="56"/>
      <c r="D158" s="56"/>
      <c r="E158" s="56"/>
      <c r="F158" s="57"/>
      <c r="G158" s="57"/>
      <c r="H158" s="57"/>
      <c r="I158" s="56"/>
      <c r="J158" s="56"/>
      <c r="K158" s="56"/>
      <c r="L158" s="56" t="s">
        <v>809</v>
      </c>
      <c r="M158" s="56">
        <v>1.9</v>
      </c>
      <c r="N158" s="56">
        <v>20</v>
      </c>
      <c r="O158" s="57">
        <v>38000</v>
      </c>
      <c r="P158" s="56">
        <v>1.6</v>
      </c>
      <c r="Q158" s="56">
        <v>32</v>
      </c>
      <c r="R158" s="56">
        <v>0.3</v>
      </c>
      <c r="S158" s="56">
        <v>6</v>
      </c>
      <c r="T158" s="56">
        <v>1.6</v>
      </c>
      <c r="U158" s="56">
        <v>32</v>
      </c>
      <c r="V158" s="56">
        <v>0.3</v>
      </c>
      <c r="W158" s="56">
        <v>6</v>
      </c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</row>
    <row r="159" spans="1:39" x14ac:dyDescent="0.4">
      <c r="A159" s="56"/>
      <c r="B159" s="59"/>
      <c r="C159" s="56"/>
      <c r="D159" s="56"/>
      <c r="E159" s="56"/>
      <c r="F159" s="57"/>
      <c r="G159" s="57"/>
      <c r="H159" s="57"/>
      <c r="I159" s="56"/>
      <c r="J159" s="56"/>
      <c r="K159" s="56"/>
      <c r="L159" s="56" t="s">
        <v>444</v>
      </c>
      <c r="M159" s="56"/>
      <c r="N159" s="56"/>
      <c r="O159" s="57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</row>
    <row r="160" spans="1:39" x14ac:dyDescent="0.4">
      <c r="A160" s="56"/>
      <c r="B160" s="59"/>
      <c r="C160" s="56"/>
      <c r="D160" s="56"/>
      <c r="E160" s="56"/>
      <c r="F160" s="57"/>
      <c r="G160" s="57"/>
      <c r="H160" s="57"/>
      <c r="I160" s="56"/>
      <c r="J160" s="56"/>
      <c r="K160" s="56"/>
      <c r="L160" s="56" t="s">
        <v>445</v>
      </c>
      <c r="M160" s="56">
        <v>0.2</v>
      </c>
      <c r="N160" s="56">
        <v>35</v>
      </c>
      <c r="O160" s="57">
        <v>7000</v>
      </c>
      <c r="P160" s="56">
        <v>0</v>
      </c>
      <c r="Q160" s="56">
        <v>0</v>
      </c>
      <c r="R160" s="56">
        <v>0.2</v>
      </c>
      <c r="S160" s="56">
        <v>7</v>
      </c>
      <c r="T160" s="56">
        <v>0</v>
      </c>
      <c r="U160" s="56">
        <v>0</v>
      </c>
      <c r="V160" s="56">
        <v>0.2</v>
      </c>
      <c r="W160" s="56">
        <v>7</v>
      </c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</row>
    <row r="161" spans="1:39" x14ac:dyDescent="0.4">
      <c r="A161" s="56"/>
      <c r="B161" s="59"/>
      <c r="C161" s="56"/>
      <c r="D161" s="56"/>
      <c r="E161" s="56"/>
      <c r="F161" s="57"/>
      <c r="G161" s="57"/>
      <c r="H161" s="57"/>
      <c r="I161" s="56"/>
      <c r="J161" s="56"/>
      <c r="K161" s="56"/>
      <c r="L161" s="56" t="s">
        <v>446</v>
      </c>
      <c r="M161" s="56">
        <v>0.2</v>
      </c>
      <c r="N161" s="56">
        <v>17</v>
      </c>
      <c r="O161" s="57">
        <v>3400</v>
      </c>
      <c r="P161" s="56">
        <v>0</v>
      </c>
      <c r="Q161" s="56">
        <v>0</v>
      </c>
      <c r="R161" s="56">
        <v>0.2</v>
      </c>
      <c r="S161" s="56">
        <v>3.4</v>
      </c>
      <c r="T161" s="56">
        <v>0</v>
      </c>
      <c r="U161" s="56">
        <v>0</v>
      </c>
      <c r="V161" s="56">
        <v>0.2</v>
      </c>
      <c r="W161" s="56">
        <v>3.4</v>
      </c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</row>
    <row r="162" spans="1:39" x14ac:dyDescent="0.4">
      <c r="A162" s="56"/>
      <c r="B162" s="59"/>
      <c r="C162" s="56"/>
      <c r="D162" s="56"/>
      <c r="E162" s="56"/>
      <c r="F162" s="57"/>
      <c r="G162" s="57"/>
      <c r="H162" s="57"/>
      <c r="I162" s="56"/>
      <c r="J162" s="56"/>
      <c r="K162" s="56"/>
      <c r="L162" s="56" t="s">
        <v>762</v>
      </c>
      <c r="M162" s="56">
        <v>0.1</v>
      </c>
      <c r="N162" s="56">
        <v>1</v>
      </c>
      <c r="O162" s="57">
        <v>100</v>
      </c>
      <c r="P162" s="56">
        <v>0</v>
      </c>
      <c r="Q162" s="56">
        <v>0</v>
      </c>
      <c r="R162" s="56">
        <v>0.1</v>
      </c>
      <c r="S162" s="56">
        <v>0.1</v>
      </c>
      <c r="T162" s="56">
        <v>0</v>
      </c>
      <c r="U162" s="56">
        <v>0</v>
      </c>
      <c r="V162" s="56">
        <v>0.1</v>
      </c>
      <c r="W162" s="56">
        <v>0.1</v>
      </c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</row>
    <row r="163" spans="1:39" x14ac:dyDescent="0.4">
      <c r="A163" s="56"/>
      <c r="B163" s="59"/>
      <c r="C163" s="56"/>
      <c r="D163" s="56"/>
      <c r="E163" s="56"/>
      <c r="F163" s="57"/>
      <c r="G163" s="57"/>
      <c r="H163" s="57"/>
      <c r="I163" s="56"/>
      <c r="J163" s="57"/>
      <c r="K163" s="56"/>
      <c r="L163" s="56" t="s">
        <v>835</v>
      </c>
      <c r="M163" s="56">
        <v>0.2</v>
      </c>
      <c r="N163" s="57">
        <v>53</v>
      </c>
      <c r="O163" s="57">
        <v>10600</v>
      </c>
      <c r="P163" s="56">
        <v>0</v>
      </c>
      <c r="Q163" s="56">
        <v>0</v>
      </c>
      <c r="R163" s="56">
        <v>0.2</v>
      </c>
      <c r="S163" s="56">
        <v>10.6</v>
      </c>
      <c r="T163" s="56">
        <v>0</v>
      </c>
      <c r="U163" s="56">
        <v>0</v>
      </c>
      <c r="V163" s="56">
        <v>0.2</v>
      </c>
      <c r="W163" s="56">
        <v>10.6</v>
      </c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</row>
    <row r="164" spans="1:39" x14ac:dyDescent="0.4">
      <c r="A164" s="56"/>
      <c r="B164" s="59"/>
      <c r="C164" s="56"/>
      <c r="D164" s="56"/>
      <c r="E164" s="56"/>
      <c r="F164" s="57"/>
      <c r="G164" s="57"/>
      <c r="H164" s="57"/>
      <c r="I164" s="56"/>
      <c r="J164" s="56"/>
      <c r="K164" s="56"/>
      <c r="L164" s="56" t="s">
        <v>836</v>
      </c>
      <c r="M164" s="56">
        <v>0.2</v>
      </c>
      <c r="N164" s="56">
        <v>12</v>
      </c>
      <c r="O164" s="57">
        <v>2400</v>
      </c>
      <c r="P164" s="56">
        <v>0</v>
      </c>
      <c r="Q164" s="56">
        <v>0</v>
      </c>
      <c r="R164" s="56">
        <v>0.2</v>
      </c>
      <c r="S164" s="56">
        <v>2.4</v>
      </c>
      <c r="T164" s="56">
        <v>0</v>
      </c>
      <c r="U164" s="56">
        <v>0</v>
      </c>
      <c r="V164" s="56">
        <v>0.2</v>
      </c>
      <c r="W164" s="56">
        <v>2.4</v>
      </c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</row>
    <row r="165" spans="1:39" x14ac:dyDescent="0.4">
      <c r="A165" s="56"/>
      <c r="B165" s="59"/>
      <c r="C165" s="56"/>
      <c r="D165" s="56"/>
      <c r="E165" s="56"/>
      <c r="F165" s="57"/>
      <c r="G165" s="57"/>
      <c r="H165" s="57"/>
      <c r="I165" s="56"/>
      <c r="J165" s="56"/>
      <c r="K165" s="56"/>
      <c r="L165" s="56" t="s">
        <v>836</v>
      </c>
      <c r="M165" s="56">
        <v>0.1</v>
      </c>
      <c r="N165" s="56">
        <v>3</v>
      </c>
      <c r="O165" s="57">
        <v>300</v>
      </c>
      <c r="P165" s="56">
        <v>0</v>
      </c>
      <c r="Q165" s="56">
        <v>0</v>
      </c>
      <c r="R165" s="56">
        <v>0.1</v>
      </c>
      <c r="S165" s="56">
        <v>0.3</v>
      </c>
      <c r="T165" s="56">
        <v>0</v>
      </c>
      <c r="U165" s="56">
        <v>0</v>
      </c>
      <c r="V165" s="56">
        <v>0.1</v>
      </c>
      <c r="W165" s="56">
        <v>0.3</v>
      </c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</row>
    <row r="166" spans="1:39" x14ac:dyDescent="0.4">
      <c r="A166" s="56"/>
      <c r="B166" s="59"/>
      <c r="C166" s="56"/>
      <c r="D166" s="56"/>
      <c r="E166" s="56"/>
      <c r="F166" s="57"/>
      <c r="G166" s="57"/>
      <c r="H166" s="57"/>
      <c r="I166" s="56"/>
      <c r="J166" s="56"/>
      <c r="K166" s="56"/>
      <c r="L166" s="56" t="s">
        <v>447</v>
      </c>
      <c r="M166" s="56"/>
      <c r="N166" s="56"/>
      <c r="O166" s="57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</row>
    <row r="167" spans="1:39" x14ac:dyDescent="0.4">
      <c r="A167" s="56"/>
      <c r="B167" s="59"/>
      <c r="C167" s="56"/>
      <c r="D167" s="56"/>
      <c r="E167" s="56"/>
      <c r="F167" s="57"/>
      <c r="G167" s="57"/>
      <c r="H167" s="57"/>
      <c r="I167" s="56"/>
      <c r="J167" s="56"/>
      <c r="K167" s="56"/>
      <c r="L167" s="56" t="s">
        <v>879</v>
      </c>
      <c r="M167" s="56">
        <v>26.4</v>
      </c>
      <c r="N167" s="56">
        <v>9</v>
      </c>
      <c r="O167" s="57">
        <v>237600</v>
      </c>
      <c r="P167" s="56">
        <v>0</v>
      </c>
      <c r="Q167" s="56">
        <v>0</v>
      </c>
      <c r="R167" s="56">
        <v>26.4</v>
      </c>
      <c r="S167" s="56">
        <v>237.6</v>
      </c>
      <c r="T167" s="56">
        <v>0</v>
      </c>
      <c r="U167" s="56">
        <v>0</v>
      </c>
      <c r="V167" s="56">
        <v>26.4</v>
      </c>
      <c r="W167" s="56">
        <v>237.6</v>
      </c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</row>
    <row r="168" spans="1:39" x14ac:dyDescent="0.4">
      <c r="A168" s="56"/>
      <c r="B168" s="59"/>
      <c r="C168" s="56"/>
      <c r="D168" s="56"/>
      <c r="E168" s="56"/>
      <c r="F168" s="57"/>
      <c r="G168" s="57"/>
      <c r="H168" s="57"/>
      <c r="I168" s="56"/>
      <c r="J168" s="56" t="s">
        <v>243</v>
      </c>
      <c r="K168" s="56"/>
      <c r="L168" s="56" t="s">
        <v>448</v>
      </c>
      <c r="M168" s="56">
        <v>-26.4</v>
      </c>
      <c r="N168" s="56">
        <v>9</v>
      </c>
      <c r="O168" s="57">
        <v>-237600</v>
      </c>
      <c r="P168" s="56">
        <v>0</v>
      </c>
      <c r="Q168" s="56">
        <v>0</v>
      </c>
      <c r="R168" s="56">
        <v>-26.4</v>
      </c>
      <c r="S168" s="56">
        <v>-237.6</v>
      </c>
      <c r="T168" s="56">
        <v>0</v>
      </c>
      <c r="U168" s="56">
        <v>0</v>
      </c>
      <c r="V168" s="56">
        <v>-26.4</v>
      </c>
      <c r="W168" s="56">
        <v>-237.6</v>
      </c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</row>
    <row r="169" spans="1:39" x14ac:dyDescent="0.4">
      <c r="A169" s="56"/>
      <c r="B169" s="59"/>
      <c r="C169" s="56"/>
      <c r="D169" s="56"/>
      <c r="E169" s="56"/>
      <c r="F169" s="57"/>
      <c r="G169" s="57"/>
      <c r="H169" s="57"/>
      <c r="I169" s="56"/>
      <c r="J169" s="56"/>
      <c r="K169" s="56"/>
      <c r="L169" s="56" t="s">
        <v>449</v>
      </c>
      <c r="M169" s="56"/>
      <c r="N169" s="56"/>
      <c r="O169" s="57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</row>
    <row r="170" spans="1:39" x14ac:dyDescent="0.4">
      <c r="A170" s="56"/>
      <c r="B170" s="59"/>
      <c r="C170" s="56"/>
      <c r="D170" s="56"/>
      <c r="E170" s="56"/>
      <c r="F170" s="57"/>
      <c r="G170" s="57"/>
      <c r="H170" s="57"/>
      <c r="I170" s="56"/>
      <c r="J170" s="56"/>
      <c r="K170" s="56"/>
      <c r="L170" s="56" t="s">
        <v>450</v>
      </c>
      <c r="M170" s="56">
        <v>-3.2</v>
      </c>
      <c r="N170" s="56">
        <v>5</v>
      </c>
      <c r="O170" s="57">
        <v>-16000</v>
      </c>
      <c r="P170" s="56">
        <v>-3.2</v>
      </c>
      <c r="Q170" s="56">
        <v>-16</v>
      </c>
      <c r="R170" s="56">
        <v>0</v>
      </c>
      <c r="S170" s="56">
        <v>0</v>
      </c>
      <c r="T170" s="56">
        <v>-3.2</v>
      </c>
      <c r="U170" s="56">
        <v>-16</v>
      </c>
      <c r="V170" s="56">
        <v>0</v>
      </c>
      <c r="W170" s="56">
        <v>0</v>
      </c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</row>
    <row r="171" spans="1:39" x14ac:dyDescent="0.4">
      <c r="A171" s="56"/>
      <c r="B171" s="59"/>
      <c r="C171" s="56"/>
      <c r="D171" s="56"/>
      <c r="E171" s="56"/>
      <c r="F171" s="57"/>
      <c r="G171" s="57"/>
      <c r="H171" s="57"/>
      <c r="I171" s="56"/>
      <c r="J171" s="56"/>
      <c r="K171" s="56"/>
      <c r="L171" s="56" t="s">
        <v>451</v>
      </c>
      <c r="M171" s="56">
        <v>-6.5</v>
      </c>
      <c r="N171" s="56">
        <v>3</v>
      </c>
      <c r="O171" s="57">
        <v>-19500</v>
      </c>
      <c r="P171" s="56">
        <v>-6.5</v>
      </c>
      <c r="Q171" s="56">
        <v>-19.5</v>
      </c>
      <c r="R171" s="56">
        <v>0</v>
      </c>
      <c r="S171" s="56">
        <v>0</v>
      </c>
      <c r="T171" s="56">
        <v>-6.5</v>
      </c>
      <c r="U171" s="56">
        <v>-19.5</v>
      </c>
      <c r="V171" s="56">
        <v>0</v>
      </c>
      <c r="W171" s="56">
        <v>0</v>
      </c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</row>
    <row r="172" spans="1:39" x14ac:dyDescent="0.4">
      <c r="A172" s="56"/>
      <c r="B172" s="59"/>
      <c r="C172" s="56"/>
      <c r="D172" s="56"/>
      <c r="E172" s="56"/>
      <c r="F172" s="57"/>
      <c r="G172" s="57"/>
      <c r="H172" s="57"/>
      <c r="I172" s="56"/>
      <c r="J172" s="56"/>
      <c r="K172" s="56"/>
      <c r="L172" s="56" t="s">
        <v>452</v>
      </c>
      <c r="M172" s="56"/>
      <c r="N172" s="56"/>
      <c r="O172" s="57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</row>
    <row r="173" spans="1:39" x14ac:dyDescent="0.4">
      <c r="A173" s="56"/>
      <c r="B173" s="59"/>
      <c r="C173" s="56"/>
      <c r="D173" s="56"/>
      <c r="E173" s="56"/>
      <c r="F173" s="57"/>
      <c r="G173" s="57"/>
      <c r="H173" s="57"/>
      <c r="I173" s="56"/>
      <c r="J173" s="56"/>
      <c r="K173" s="56"/>
      <c r="L173" s="56" t="s">
        <v>453</v>
      </c>
      <c r="M173" s="56">
        <v>31</v>
      </c>
      <c r="N173" s="56">
        <v>1</v>
      </c>
      <c r="O173" s="57">
        <v>31000</v>
      </c>
      <c r="P173" s="56">
        <v>0</v>
      </c>
      <c r="Q173" s="56">
        <v>0</v>
      </c>
      <c r="R173" s="56">
        <v>31</v>
      </c>
      <c r="S173" s="56">
        <v>31</v>
      </c>
      <c r="T173" s="56">
        <v>0</v>
      </c>
      <c r="U173" s="56">
        <v>0</v>
      </c>
      <c r="V173" s="56">
        <v>31</v>
      </c>
      <c r="W173" s="56">
        <v>31</v>
      </c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</row>
    <row r="174" spans="1:39" x14ac:dyDescent="0.4">
      <c r="A174" s="56"/>
      <c r="B174" s="59"/>
      <c r="C174" s="56"/>
      <c r="D174" s="56"/>
      <c r="E174" s="56"/>
      <c r="F174" s="57"/>
      <c r="G174" s="57"/>
      <c r="H174" s="57"/>
      <c r="I174" s="56"/>
      <c r="J174" s="56"/>
      <c r="K174" s="56" t="s">
        <v>454</v>
      </c>
      <c r="L174" s="56"/>
      <c r="M174" s="56"/>
      <c r="N174" s="56"/>
      <c r="O174" s="57">
        <v>1854610</v>
      </c>
      <c r="P174" s="56"/>
      <c r="Q174" s="56">
        <v>1286.8</v>
      </c>
      <c r="R174" s="56"/>
      <c r="S174" s="56">
        <v>567.80999999999995</v>
      </c>
      <c r="T174" s="56"/>
      <c r="U174" s="56">
        <v>1286.8</v>
      </c>
      <c r="V174" s="56"/>
      <c r="W174" s="56">
        <v>567.80999999999995</v>
      </c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</row>
    <row r="175" spans="1:39" x14ac:dyDescent="0.4">
      <c r="A175" s="56"/>
      <c r="B175" s="59"/>
      <c r="C175" s="56"/>
      <c r="D175" s="56"/>
      <c r="E175" s="56"/>
      <c r="F175" s="57"/>
      <c r="G175" s="57"/>
      <c r="H175" s="57"/>
      <c r="I175" s="56"/>
      <c r="J175" s="56"/>
      <c r="K175" s="56" t="s">
        <v>455</v>
      </c>
      <c r="L175" s="56"/>
      <c r="M175" s="56"/>
      <c r="N175" s="56"/>
      <c r="O175" s="57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</row>
    <row r="176" spans="1:39" x14ac:dyDescent="0.4">
      <c r="A176" s="56"/>
      <c r="B176" s="59"/>
      <c r="C176" s="56"/>
      <c r="D176" s="56"/>
      <c r="E176" s="56"/>
      <c r="F176" s="57"/>
      <c r="G176" s="57"/>
      <c r="H176" s="57"/>
      <c r="I176" s="56"/>
      <c r="J176" s="56"/>
      <c r="K176" s="56"/>
      <c r="L176" s="56" t="s">
        <v>456</v>
      </c>
      <c r="M176" s="56"/>
      <c r="N176" s="56"/>
      <c r="O176" s="57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</row>
    <row r="177" spans="1:39" x14ac:dyDescent="0.4">
      <c r="A177" s="56"/>
      <c r="B177" s="59"/>
      <c r="C177" s="56"/>
      <c r="D177" s="56"/>
      <c r="E177" s="56"/>
      <c r="F177" s="57"/>
      <c r="G177" s="57"/>
      <c r="H177" s="57"/>
      <c r="I177" s="56"/>
      <c r="J177" s="56"/>
      <c r="K177" s="56"/>
      <c r="L177" s="56" t="s">
        <v>457</v>
      </c>
      <c r="M177" s="56">
        <v>12</v>
      </c>
      <c r="N177" s="56">
        <v>32</v>
      </c>
      <c r="O177" s="57">
        <v>384000</v>
      </c>
      <c r="P177" s="56">
        <v>12</v>
      </c>
      <c r="Q177" s="56">
        <v>384</v>
      </c>
      <c r="R177" s="56">
        <v>0</v>
      </c>
      <c r="S177" s="56">
        <v>0</v>
      </c>
      <c r="T177" s="56">
        <v>12</v>
      </c>
      <c r="U177" s="56">
        <v>384</v>
      </c>
      <c r="V177" s="56">
        <v>0</v>
      </c>
      <c r="W177" s="56">
        <v>0</v>
      </c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</row>
    <row r="178" spans="1:39" x14ac:dyDescent="0.4">
      <c r="A178" s="56"/>
      <c r="B178" s="59"/>
      <c r="C178" s="56"/>
      <c r="D178" s="56"/>
      <c r="E178" s="56"/>
      <c r="F178" s="57"/>
      <c r="G178" s="57"/>
      <c r="H178" s="57"/>
      <c r="I178" s="56"/>
      <c r="J178" s="56"/>
      <c r="K178" s="56"/>
      <c r="L178" s="56" t="s">
        <v>458</v>
      </c>
      <c r="M178" s="56">
        <v>5</v>
      </c>
      <c r="N178" s="56">
        <v>13</v>
      </c>
      <c r="O178" s="57">
        <v>65000</v>
      </c>
      <c r="P178" s="56">
        <v>5</v>
      </c>
      <c r="Q178" s="56">
        <v>65</v>
      </c>
      <c r="R178" s="56">
        <v>0</v>
      </c>
      <c r="S178" s="56">
        <v>0</v>
      </c>
      <c r="T178" s="56">
        <v>5</v>
      </c>
      <c r="U178" s="56">
        <v>65</v>
      </c>
      <c r="V178" s="56">
        <v>0</v>
      </c>
      <c r="W178" s="56">
        <v>0</v>
      </c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</row>
    <row r="179" spans="1:39" x14ac:dyDescent="0.4">
      <c r="A179" s="56"/>
      <c r="B179" s="59"/>
      <c r="C179" s="56"/>
      <c r="D179" s="56"/>
      <c r="E179" s="56"/>
      <c r="F179" s="57"/>
      <c r="G179" s="57"/>
      <c r="H179" s="57"/>
      <c r="I179" s="56"/>
      <c r="J179" s="56"/>
      <c r="K179" s="56"/>
      <c r="L179" s="56" t="s">
        <v>459</v>
      </c>
      <c r="M179" s="56">
        <v>17</v>
      </c>
      <c r="N179" s="56">
        <v>8</v>
      </c>
      <c r="O179" s="57">
        <v>136000</v>
      </c>
      <c r="P179" s="56">
        <v>17</v>
      </c>
      <c r="Q179" s="56">
        <v>136</v>
      </c>
      <c r="R179" s="56">
        <v>0</v>
      </c>
      <c r="S179" s="56">
        <v>0</v>
      </c>
      <c r="T179" s="56">
        <v>17</v>
      </c>
      <c r="U179" s="56">
        <v>136</v>
      </c>
      <c r="V179" s="56">
        <v>0</v>
      </c>
      <c r="W179" s="56">
        <v>0</v>
      </c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</row>
    <row r="180" spans="1:39" x14ac:dyDescent="0.4">
      <c r="A180" s="56"/>
      <c r="B180" s="59"/>
      <c r="C180" s="56"/>
      <c r="D180" s="56"/>
      <c r="E180" s="56"/>
      <c r="F180" s="57"/>
      <c r="G180" s="57"/>
      <c r="H180" s="57"/>
      <c r="I180" s="56"/>
      <c r="J180" s="56"/>
      <c r="K180" s="56"/>
      <c r="L180" s="56" t="s">
        <v>460</v>
      </c>
      <c r="M180" s="56">
        <v>6</v>
      </c>
      <c r="N180" s="56">
        <v>3</v>
      </c>
      <c r="O180" s="57">
        <v>18000</v>
      </c>
      <c r="P180" s="56">
        <v>6</v>
      </c>
      <c r="Q180" s="56">
        <v>18</v>
      </c>
      <c r="R180" s="56">
        <v>0</v>
      </c>
      <c r="S180" s="56">
        <v>0</v>
      </c>
      <c r="T180" s="56">
        <v>6</v>
      </c>
      <c r="U180" s="56">
        <v>18</v>
      </c>
      <c r="V180" s="56">
        <v>0</v>
      </c>
      <c r="W180" s="56">
        <v>0</v>
      </c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</row>
    <row r="181" spans="1:39" x14ac:dyDescent="0.4">
      <c r="A181" s="56"/>
      <c r="B181" s="59"/>
      <c r="C181" s="56"/>
      <c r="D181" s="56"/>
      <c r="E181" s="56"/>
      <c r="F181" s="57"/>
      <c r="G181" s="57"/>
      <c r="H181" s="57"/>
      <c r="I181" s="56"/>
      <c r="J181" s="56"/>
      <c r="K181" s="56"/>
      <c r="L181" s="56" t="s">
        <v>461</v>
      </c>
      <c r="M181" s="56">
        <v>4</v>
      </c>
      <c r="N181" s="56">
        <v>2</v>
      </c>
      <c r="O181" s="57">
        <v>8000</v>
      </c>
      <c r="P181" s="56">
        <v>4</v>
      </c>
      <c r="Q181" s="56">
        <v>8</v>
      </c>
      <c r="R181" s="56">
        <v>0</v>
      </c>
      <c r="S181" s="56">
        <v>0</v>
      </c>
      <c r="T181" s="56">
        <v>4</v>
      </c>
      <c r="U181" s="56">
        <v>8</v>
      </c>
      <c r="V181" s="56">
        <v>0</v>
      </c>
      <c r="W181" s="56">
        <v>0</v>
      </c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</row>
    <row r="182" spans="1:39" x14ac:dyDescent="0.4">
      <c r="A182" s="56"/>
      <c r="B182" s="59"/>
      <c r="C182" s="56"/>
      <c r="D182" s="56"/>
      <c r="E182" s="56"/>
      <c r="F182" s="57"/>
      <c r="G182" s="57"/>
      <c r="H182" s="57"/>
      <c r="I182" s="56"/>
      <c r="J182" s="56"/>
      <c r="K182" s="56"/>
      <c r="L182" s="56" t="s">
        <v>462</v>
      </c>
      <c r="M182" s="56"/>
      <c r="N182" s="56"/>
      <c r="O182" s="57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</row>
    <row r="183" spans="1:39" x14ac:dyDescent="0.4">
      <c r="A183" s="56"/>
      <c r="B183" s="59"/>
      <c r="C183" s="56"/>
      <c r="D183" s="56"/>
      <c r="E183" s="56"/>
      <c r="F183" s="57"/>
      <c r="G183" s="57"/>
      <c r="H183" s="57"/>
      <c r="I183" s="56"/>
      <c r="J183" s="56" t="s">
        <v>243</v>
      </c>
      <c r="K183" s="56"/>
      <c r="L183" s="56" t="s">
        <v>880</v>
      </c>
      <c r="M183" s="56">
        <v>4</v>
      </c>
      <c r="N183" s="56">
        <v>3</v>
      </c>
      <c r="O183" s="57">
        <v>12000</v>
      </c>
      <c r="P183" s="56">
        <v>0</v>
      </c>
      <c r="Q183" s="56">
        <v>0</v>
      </c>
      <c r="R183" s="56">
        <v>4</v>
      </c>
      <c r="S183" s="56">
        <v>12</v>
      </c>
      <c r="T183" s="56">
        <v>0</v>
      </c>
      <c r="U183" s="56">
        <v>0</v>
      </c>
      <c r="V183" s="56">
        <v>4</v>
      </c>
      <c r="W183" s="56">
        <v>12</v>
      </c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</row>
    <row r="184" spans="1:39" x14ac:dyDescent="0.4">
      <c r="A184" s="56"/>
      <c r="B184" s="59"/>
      <c r="C184" s="56"/>
      <c r="D184" s="56"/>
      <c r="E184" s="56"/>
      <c r="F184" s="57"/>
      <c r="G184" s="57"/>
      <c r="H184" s="57"/>
      <c r="I184" s="56"/>
      <c r="J184" s="56" t="s">
        <v>243</v>
      </c>
      <c r="K184" s="56"/>
      <c r="L184" s="56" t="s">
        <v>881</v>
      </c>
      <c r="M184" s="56">
        <v>4.3</v>
      </c>
      <c r="N184" s="56">
        <v>3</v>
      </c>
      <c r="O184" s="57">
        <v>12900</v>
      </c>
      <c r="P184" s="56">
        <v>0</v>
      </c>
      <c r="Q184" s="56">
        <v>0</v>
      </c>
      <c r="R184" s="56">
        <v>4.3</v>
      </c>
      <c r="S184" s="56">
        <v>12.9</v>
      </c>
      <c r="T184" s="56">
        <v>0</v>
      </c>
      <c r="U184" s="56">
        <v>0</v>
      </c>
      <c r="V184" s="56">
        <v>4.3</v>
      </c>
      <c r="W184" s="56">
        <v>12.9</v>
      </c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</row>
    <row r="185" spans="1:39" x14ac:dyDescent="0.4">
      <c r="A185" s="56"/>
      <c r="B185" s="59"/>
      <c r="C185" s="56"/>
      <c r="D185" s="56"/>
      <c r="E185" s="56"/>
      <c r="F185" s="57"/>
      <c r="G185" s="57"/>
      <c r="H185" s="57"/>
      <c r="I185" s="56"/>
      <c r="J185" s="56" t="s">
        <v>243</v>
      </c>
      <c r="K185" s="56"/>
      <c r="L185" s="56" t="s">
        <v>882</v>
      </c>
      <c r="M185" s="56">
        <v>13.4</v>
      </c>
      <c r="N185" s="56">
        <v>6</v>
      </c>
      <c r="O185" s="57">
        <v>80400</v>
      </c>
      <c r="P185" s="56">
        <v>0</v>
      </c>
      <c r="Q185" s="56">
        <v>0</v>
      </c>
      <c r="R185" s="56">
        <v>13.4</v>
      </c>
      <c r="S185" s="56">
        <v>80.400000000000006</v>
      </c>
      <c r="T185" s="56">
        <v>0</v>
      </c>
      <c r="U185" s="56">
        <v>0</v>
      </c>
      <c r="V185" s="56">
        <v>13.4</v>
      </c>
      <c r="W185" s="56">
        <v>80.400000000000006</v>
      </c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</row>
    <row r="186" spans="1:39" x14ac:dyDescent="0.4">
      <c r="A186" s="56"/>
      <c r="B186" s="59"/>
      <c r="C186" s="56"/>
      <c r="D186" s="56"/>
      <c r="E186" s="56"/>
      <c r="F186" s="57"/>
      <c r="G186" s="57"/>
      <c r="H186" s="57"/>
      <c r="I186" s="56"/>
      <c r="J186" s="56" t="s">
        <v>243</v>
      </c>
      <c r="K186" s="56"/>
      <c r="L186" s="56" t="s">
        <v>463</v>
      </c>
      <c r="M186" s="56">
        <v>8.8000000000000007</v>
      </c>
      <c r="N186" s="56">
        <v>3</v>
      </c>
      <c r="O186" s="57">
        <v>26400</v>
      </c>
      <c r="P186" s="56">
        <v>0</v>
      </c>
      <c r="Q186" s="56">
        <v>0</v>
      </c>
      <c r="R186" s="56">
        <v>8.8000000000000007</v>
      </c>
      <c r="S186" s="56">
        <v>26.4</v>
      </c>
      <c r="T186" s="56">
        <v>0</v>
      </c>
      <c r="U186" s="56">
        <v>0</v>
      </c>
      <c r="V186" s="56">
        <v>8.8000000000000007</v>
      </c>
      <c r="W186" s="56">
        <v>26.4</v>
      </c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</row>
    <row r="187" spans="1:39" x14ac:dyDescent="0.4">
      <c r="A187" s="56"/>
      <c r="B187" s="59"/>
      <c r="C187" s="56"/>
      <c r="D187" s="56"/>
      <c r="E187" s="56"/>
      <c r="F187" s="57"/>
      <c r="G187" s="57"/>
      <c r="H187" s="57"/>
      <c r="I187" s="56"/>
      <c r="J187" s="56" t="s">
        <v>243</v>
      </c>
      <c r="K187" s="56"/>
      <c r="L187" s="56" t="s">
        <v>883</v>
      </c>
      <c r="M187" s="56">
        <v>8.8000000000000007</v>
      </c>
      <c r="N187" s="56">
        <v>5</v>
      </c>
      <c r="O187" s="57">
        <v>44000</v>
      </c>
      <c r="P187" s="56">
        <v>0</v>
      </c>
      <c r="Q187" s="56">
        <v>0</v>
      </c>
      <c r="R187" s="56">
        <v>8.8000000000000007</v>
      </c>
      <c r="S187" s="56">
        <v>44</v>
      </c>
      <c r="T187" s="56">
        <v>0</v>
      </c>
      <c r="U187" s="56">
        <v>0</v>
      </c>
      <c r="V187" s="56">
        <v>8.8000000000000007</v>
      </c>
      <c r="W187" s="56">
        <v>44</v>
      </c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</row>
    <row r="188" spans="1:39" x14ac:dyDescent="0.4">
      <c r="A188" s="56"/>
      <c r="B188" s="59"/>
      <c r="C188" s="56"/>
      <c r="D188" s="56"/>
      <c r="E188" s="56"/>
      <c r="F188" s="57"/>
      <c r="G188" s="57"/>
      <c r="H188" s="57"/>
      <c r="I188" s="56"/>
      <c r="J188" s="56"/>
      <c r="K188" s="56" t="s">
        <v>464</v>
      </c>
      <c r="L188" s="56"/>
      <c r="M188" s="56"/>
      <c r="N188" s="56"/>
      <c r="O188" s="57">
        <v>786700</v>
      </c>
      <c r="P188" s="56"/>
      <c r="Q188" s="56">
        <v>611</v>
      </c>
      <c r="R188" s="56"/>
      <c r="S188" s="56">
        <v>175.7</v>
      </c>
      <c r="T188" s="56"/>
      <c r="U188" s="56">
        <v>611</v>
      </c>
      <c r="V188" s="56"/>
      <c r="W188" s="56">
        <v>175.7</v>
      </c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</row>
    <row r="189" spans="1:39" x14ac:dyDescent="0.4">
      <c r="A189" s="56"/>
      <c r="B189" s="59"/>
      <c r="C189" s="56"/>
      <c r="D189" s="56"/>
      <c r="E189" s="56"/>
      <c r="F189" s="57"/>
      <c r="G189" s="57"/>
      <c r="H189" s="57"/>
      <c r="I189" s="56"/>
      <c r="J189" s="56"/>
      <c r="K189" s="56" t="s">
        <v>465</v>
      </c>
      <c r="L189" s="56"/>
      <c r="M189" s="56"/>
      <c r="N189" s="56"/>
      <c r="O189" s="57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</row>
    <row r="190" spans="1:39" x14ac:dyDescent="0.4">
      <c r="A190" s="56"/>
      <c r="B190" s="59"/>
      <c r="C190" s="56"/>
      <c r="D190" s="56"/>
      <c r="E190" s="56"/>
      <c r="F190" s="57"/>
      <c r="G190" s="57"/>
      <c r="H190" s="57"/>
      <c r="I190" s="56"/>
      <c r="J190" s="56"/>
      <c r="K190" s="56"/>
      <c r="L190" s="56" t="s">
        <v>466</v>
      </c>
      <c r="M190" s="56"/>
      <c r="N190" s="56"/>
      <c r="O190" s="57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</row>
    <row r="191" spans="1:39" x14ac:dyDescent="0.4">
      <c r="A191" s="56"/>
      <c r="B191" s="59"/>
      <c r="C191" s="56"/>
      <c r="D191" s="56"/>
      <c r="E191" s="56"/>
      <c r="F191" s="57"/>
      <c r="G191" s="57"/>
      <c r="H191" s="57"/>
      <c r="I191" s="56"/>
      <c r="J191" s="56"/>
      <c r="K191" s="56"/>
      <c r="L191" s="56" t="s">
        <v>884</v>
      </c>
      <c r="M191" s="56">
        <v>29</v>
      </c>
      <c r="N191" s="56">
        <v>2</v>
      </c>
      <c r="O191" s="57">
        <v>58000</v>
      </c>
      <c r="P191" s="56">
        <v>29</v>
      </c>
      <c r="Q191" s="56">
        <v>58</v>
      </c>
      <c r="R191" s="56">
        <v>0</v>
      </c>
      <c r="S191" s="56">
        <v>0</v>
      </c>
      <c r="T191" s="56">
        <v>29</v>
      </c>
      <c r="U191" s="56">
        <v>58</v>
      </c>
      <c r="V191" s="56">
        <v>0</v>
      </c>
      <c r="W191" s="56">
        <v>0</v>
      </c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</row>
    <row r="192" spans="1:39" x14ac:dyDescent="0.4">
      <c r="A192" s="56"/>
      <c r="B192" s="59"/>
      <c r="C192" s="56"/>
      <c r="D192" s="56"/>
      <c r="E192" s="56"/>
      <c r="F192" s="57"/>
      <c r="G192" s="57"/>
      <c r="H192" s="57"/>
      <c r="I192" s="56"/>
      <c r="J192" s="56"/>
      <c r="K192" s="56"/>
      <c r="L192" s="56" t="s">
        <v>885</v>
      </c>
      <c r="M192" s="56">
        <v>31.4</v>
      </c>
      <c r="N192" s="56">
        <v>2</v>
      </c>
      <c r="O192" s="57">
        <v>62800</v>
      </c>
      <c r="P192" s="56">
        <v>31.4</v>
      </c>
      <c r="Q192" s="56">
        <v>62.8</v>
      </c>
      <c r="R192" s="56">
        <v>0</v>
      </c>
      <c r="S192" s="56">
        <v>0</v>
      </c>
      <c r="T192" s="56">
        <v>31.4</v>
      </c>
      <c r="U192" s="56">
        <v>62.8</v>
      </c>
      <c r="V192" s="56">
        <v>0</v>
      </c>
      <c r="W192" s="56">
        <v>0</v>
      </c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</row>
    <row r="193" spans="1:39" x14ac:dyDescent="0.4">
      <c r="A193" s="56"/>
      <c r="B193" s="59"/>
      <c r="C193" s="56"/>
      <c r="D193" s="56"/>
      <c r="E193" s="56"/>
      <c r="F193" s="57"/>
      <c r="G193" s="57"/>
      <c r="H193" s="57"/>
      <c r="I193" s="56"/>
      <c r="J193" s="56"/>
      <c r="K193" s="56"/>
      <c r="L193" s="56" t="s">
        <v>886</v>
      </c>
      <c r="M193" s="56">
        <v>2.2000000000000002</v>
      </c>
      <c r="N193" s="56">
        <v>2</v>
      </c>
      <c r="O193" s="57">
        <v>4400</v>
      </c>
      <c r="P193" s="56">
        <v>2</v>
      </c>
      <c r="Q193" s="56">
        <v>4</v>
      </c>
      <c r="R193" s="56">
        <v>0.2</v>
      </c>
      <c r="S193" s="56">
        <v>0.4</v>
      </c>
      <c r="T193" s="56">
        <v>2</v>
      </c>
      <c r="U193" s="56">
        <v>4</v>
      </c>
      <c r="V193" s="56">
        <v>0.2</v>
      </c>
      <c r="W193" s="56">
        <v>0.4</v>
      </c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</row>
    <row r="194" spans="1:39" x14ac:dyDescent="0.4">
      <c r="A194" s="56"/>
      <c r="B194" s="59"/>
      <c r="C194" s="56"/>
      <c r="D194" s="56"/>
      <c r="E194" s="56"/>
      <c r="F194" s="57"/>
      <c r="G194" s="57"/>
      <c r="H194" s="57"/>
      <c r="I194" s="56"/>
      <c r="J194" s="56"/>
      <c r="K194" s="56"/>
      <c r="L194" s="57" t="s">
        <v>467</v>
      </c>
      <c r="M194" s="56"/>
      <c r="N194" s="56"/>
      <c r="O194" s="57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</row>
    <row r="195" spans="1:39" x14ac:dyDescent="0.4">
      <c r="A195" s="56"/>
      <c r="B195" s="59"/>
      <c r="C195" s="56"/>
      <c r="D195" s="56"/>
      <c r="E195" s="56"/>
      <c r="F195" s="57"/>
      <c r="G195" s="57"/>
      <c r="H195" s="57"/>
      <c r="I195" s="56"/>
      <c r="J195" s="56"/>
      <c r="K195" s="56"/>
      <c r="L195" s="56" t="s">
        <v>887</v>
      </c>
      <c r="M195" s="56">
        <v>80.7</v>
      </c>
      <c r="N195" s="56">
        <v>1</v>
      </c>
      <c r="O195" s="57">
        <v>80700</v>
      </c>
      <c r="P195" s="56">
        <v>78.400000000000006</v>
      </c>
      <c r="Q195" s="56">
        <v>78.400000000000006</v>
      </c>
      <c r="R195" s="56">
        <v>2.2999999999999998</v>
      </c>
      <c r="S195" s="56">
        <v>2.2999999999999998</v>
      </c>
      <c r="T195" s="56">
        <v>78.400000000000006</v>
      </c>
      <c r="U195" s="56">
        <v>78.400000000000006</v>
      </c>
      <c r="V195" s="56">
        <v>2.2999999999999998</v>
      </c>
      <c r="W195" s="56">
        <v>2.2999999999999998</v>
      </c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</row>
    <row r="196" spans="1:39" x14ac:dyDescent="0.4">
      <c r="A196" s="56"/>
      <c r="B196" s="59"/>
      <c r="C196" s="56"/>
      <c r="D196" s="56"/>
      <c r="E196" s="56"/>
      <c r="F196" s="57"/>
      <c r="G196" s="57"/>
      <c r="H196" s="57"/>
      <c r="I196" s="56"/>
      <c r="J196" s="56"/>
      <c r="K196" s="56"/>
      <c r="L196" s="57" t="s">
        <v>888</v>
      </c>
      <c r="M196" s="56"/>
      <c r="N196" s="56"/>
      <c r="O196" s="57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</row>
    <row r="197" spans="1:39" x14ac:dyDescent="0.4">
      <c r="A197" s="56"/>
      <c r="B197" s="59"/>
      <c r="C197" s="56"/>
      <c r="D197" s="56"/>
      <c r="E197" s="56"/>
      <c r="F197" s="57"/>
      <c r="G197" s="57"/>
      <c r="H197" s="57"/>
      <c r="I197" s="56"/>
      <c r="J197" s="56"/>
      <c r="K197" s="56"/>
      <c r="L197" s="56" t="s">
        <v>889</v>
      </c>
      <c r="M197" s="56">
        <v>34.4</v>
      </c>
      <c r="N197" s="56">
        <v>2</v>
      </c>
      <c r="O197" s="57">
        <v>68800</v>
      </c>
      <c r="P197" s="56">
        <v>32.299999999999997</v>
      </c>
      <c r="Q197" s="56">
        <v>64.599999999999994</v>
      </c>
      <c r="R197" s="56">
        <v>2.1</v>
      </c>
      <c r="S197" s="56">
        <v>4.2</v>
      </c>
      <c r="T197" s="56">
        <v>32.299999999999997</v>
      </c>
      <c r="U197" s="56">
        <v>64.599999999999994</v>
      </c>
      <c r="V197" s="56">
        <v>2.1</v>
      </c>
      <c r="W197" s="56">
        <v>4.2</v>
      </c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</row>
    <row r="198" spans="1:39" x14ac:dyDescent="0.4">
      <c r="A198" s="56"/>
      <c r="B198" s="59"/>
      <c r="C198" s="56"/>
      <c r="D198" s="56"/>
      <c r="E198" s="56"/>
      <c r="F198" s="57"/>
      <c r="G198" s="57"/>
      <c r="H198" s="57"/>
      <c r="I198" s="56"/>
      <c r="J198" s="56"/>
      <c r="K198" s="56"/>
      <c r="L198" s="57" t="s">
        <v>890</v>
      </c>
      <c r="M198" s="56">
        <v>38.299999999999997</v>
      </c>
      <c r="N198" s="56">
        <v>1</v>
      </c>
      <c r="O198" s="57">
        <v>38300</v>
      </c>
      <c r="P198" s="56">
        <v>36.200000000000003</v>
      </c>
      <c r="Q198" s="56">
        <v>36.200000000000003</v>
      </c>
      <c r="R198" s="56">
        <v>2.1</v>
      </c>
      <c r="S198" s="56">
        <v>2.1</v>
      </c>
      <c r="T198" s="56">
        <v>36.200000000000003</v>
      </c>
      <c r="U198" s="56">
        <v>36.200000000000003</v>
      </c>
      <c r="V198" s="56">
        <v>2.1</v>
      </c>
      <c r="W198" s="56">
        <v>2.1</v>
      </c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</row>
    <row r="199" spans="1:39" x14ac:dyDescent="0.4">
      <c r="A199" s="56"/>
      <c r="B199" s="59"/>
      <c r="C199" s="56"/>
      <c r="D199" s="56"/>
      <c r="E199" s="56"/>
      <c r="F199" s="57"/>
      <c r="G199" s="57"/>
      <c r="H199" s="57"/>
      <c r="I199" s="56"/>
      <c r="J199" s="56"/>
      <c r="K199" s="56"/>
      <c r="L199" s="57" t="s">
        <v>468</v>
      </c>
      <c r="M199" s="56">
        <v>4</v>
      </c>
      <c r="N199" s="56">
        <v>1</v>
      </c>
      <c r="O199" s="57">
        <v>4000</v>
      </c>
      <c r="P199" s="56">
        <v>4</v>
      </c>
      <c r="Q199" s="56">
        <v>4</v>
      </c>
      <c r="R199" s="56">
        <v>0</v>
      </c>
      <c r="S199" s="56">
        <v>0</v>
      </c>
      <c r="T199" s="56">
        <v>4</v>
      </c>
      <c r="U199" s="56">
        <v>4</v>
      </c>
      <c r="V199" s="56">
        <v>0</v>
      </c>
      <c r="W199" s="56">
        <v>0</v>
      </c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</row>
    <row r="200" spans="1:39" x14ac:dyDescent="0.4">
      <c r="A200" s="56"/>
      <c r="B200" s="59"/>
      <c r="C200" s="56"/>
      <c r="D200" s="56"/>
      <c r="E200" s="56"/>
      <c r="F200" s="57"/>
      <c r="G200" s="57"/>
      <c r="H200" s="57"/>
      <c r="I200" s="56"/>
      <c r="J200" s="56"/>
      <c r="K200" s="56"/>
      <c r="L200" s="56" t="s">
        <v>891</v>
      </c>
      <c r="M200" s="56">
        <v>1</v>
      </c>
      <c r="N200" s="56">
        <v>1</v>
      </c>
      <c r="O200" s="57">
        <v>1000</v>
      </c>
      <c r="P200" s="56">
        <v>1</v>
      </c>
      <c r="Q200" s="56">
        <v>1</v>
      </c>
      <c r="R200" s="56">
        <v>0</v>
      </c>
      <c r="S200" s="56">
        <v>0</v>
      </c>
      <c r="T200" s="56">
        <v>1</v>
      </c>
      <c r="U200" s="56">
        <v>1</v>
      </c>
      <c r="V200" s="56">
        <v>0</v>
      </c>
      <c r="W200" s="56">
        <v>0</v>
      </c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</row>
    <row r="201" spans="1:39" x14ac:dyDescent="0.4">
      <c r="A201" s="56"/>
      <c r="B201" s="59"/>
      <c r="C201" s="56"/>
      <c r="D201" s="56"/>
      <c r="E201" s="56"/>
      <c r="F201" s="57"/>
      <c r="G201" s="57"/>
      <c r="H201" s="57"/>
      <c r="I201" s="56"/>
      <c r="J201" s="56"/>
      <c r="K201" s="56"/>
      <c r="L201" s="56" t="s">
        <v>469</v>
      </c>
      <c r="M201" s="56"/>
      <c r="N201" s="56"/>
      <c r="O201" s="57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</row>
    <row r="202" spans="1:39" x14ac:dyDescent="0.4">
      <c r="A202" s="56"/>
      <c r="B202" s="59"/>
      <c r="C202" s="56"/>
      <c r="D202" s="56"/>
      <c r="E202" s="56"/>
      <c r="F202" s="57"/>
      <c r="G202" s="57"/>
      <c r="H202" s="57"/>
      <c r="I202" s="56"/>
      <c r="J202" s="56"/>
      <c r="K202" s="56"/>
      <c r="L202" s="56" t="s">
        <v>470</v>
      </c>
      <c r="M202" s="56">
        <v>3.3</v>
      </c>
      <c r="N202" s="56">
        <v>4</v>
      </c>
      <c r="O202" s="57">
        <v>13200</v>
      </c>
      <c r="P202" s="56">
        <v>0</v>
      </c>
      <c r="Q202" s="56">
        <v>0</v>
      </c>
      <c r="R202" s="56">
        <v>3.3</v>
      </c>
      <c r="S202" s="56">
        <v>13.2</v>
      </c>
      <c r="T202" s="56">
        <v>0</v>
      </c>
      <c r="U202" s="56">
        <v>0</v>
      </c>
      <c r="V202" s="56">
        <v>3.3</v>
      </c>
      <c r="W202" s="56">
        <v>13.2</v>
      </c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</row>
    <row r="203" spans="1:39" x14ac:dyDescent="0.4">
      <c r="A203" s="56"/>
      <c r="B203" s="59"/>
      <c r="C203" s="56"/>
      <c r="D203" s="56"/>
      <c r="E203" s="56"/>
      <c r="F203" s="57"/>
      <c r="G203" s="57"/>
      <c r="H203" s="57"/>
      <c r="I203" s="56"/>
      <c r="J203" s="56"/>
      <c r="K203" s="56"/>
      <c r="L203" s="56" t="s">
        <v>892</v>
      </c>
      <c r="M203" s="56">
        <v>3.2</v>
      </c>
      <c r="N203" s="56">
        <v>1</v>
      </c>
      <c r="O203" s="57">
        <v>3200</v>
      </c>
      <c r="P203" s="56">
        <v>0</v>
      </c>
      <c r="Q203" s="56">
        <v>0</v>
      </c>
      <c r="R203" s="56">
        <v>3.2</v>
      </c>
      <c r="S203" s="56">
        <v>3.2</v>
      </c>
      <c r="T203" s="56">
        <v>0</v>
      </c>
      <c r="U203" s="56">
        <v>0</v>
      </c>
      <c r="V203" s="56">
        <v>3.2</v>
      </c>
      <c r="W203" s="56">
        <v>3.2</v>
      </c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</row>
    <row r="204" spans="1:39" x14ac:dyDescent="0.4">
      <c r="A204" s="56"/>
      <c r="B204" s="59"/>
      <c r="C204" s="56"/>
      <c r="D204" s="56"/>
      <c r="E204" s="56"/>
      <c r="F204" s="57"/>
      <c r="G204" s="57"/>
      <c r="H204" s="57"/>
      <c r="I204" s="56"/>
      <c r="J204" s="56"/>
      <c r="K204" s="56"/>
      <c r="L204" s="57" t="s">
        <v>893</v>
      </c>
      <c r="M204" s="56"/>
      <c r="N204" s="56"/>
      <c r="O204" s="57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</row>
    <row r="205" spans="1:39" x14ac:dyDescent="0.4">
      <c r="A205" s="56"/>
      <c r="B205" s="59"/>
      <c r="C205" s="56"/>
      <c r="D205" s="56"/>
      <c r="E205" s="56"/>
      <c r="F205" s="57"/>
      <c r="G205" s="57"/>
      <c r="H205" s="57"/>
      <c r="I205" s="56"/>
      <c r="J205" s="56"/>
      <c r="K205" s="56"/>
      <c r="L205" s="57" t="s">
        <v>894</v>
      </c>
      <c r="M205" s="56">
        <v>71.5</v>
      </c>
      <c r="N205" s="56">
        <v>2</v>
      </c>
      <c r="O205" s="57">
        <v>143000</v>
      </c>
      <c r="P205" s="56">
        <v>69.8</v>
      </c>
      <c r="Q205" s="56">
        <v>139.6</v>
      </c>
      <c r="R205" s="56">
        <v>1.7</v>
      </c>
      <c r="S205" s="56">
        <v>3.4</v>
      </c>
      <c r="T205" s="56">
        <v>69.8</v>
      </c>
      <c r="U205" s="56">
        <v>139.6</v>
      </c>
      <c r="V205" s="56">
        <v>1.7</v>
      </c>
      <c r="W205" s="56">
        <v>3.4</v>
      </c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</row>
    <row r="206" spans="1:39" x14ac:dyDescent="0.4">
      <c r="A206" s="56"/>
      <c r="B206" s="59"/>
      <c r="C206" s="56"/>
      <c r="D206" s="56"/>
      <c r="E206" s="56"/>
      <c r="F206" s="57"/>
      <c r="G206" s="57"/>
      <c r="H206" s="57"/>
      <c r="I206" s="56"/>
      <c r="J206" s="56"/>
      <c r="K206" s="56"/>
      <c r="L206" s="56" t="s">
        <v>471</v>
      </c>
      <c r="M206" s="56"/>
      <c r="N206" s="56"/>
      <c r="O206" s="57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</row>
    <row r="207" spans="1:39" x14ac:dyDescent="0.4">
      <c r="A207" s="56"/>
      <c r="B207" s="59"/>
      <c r="C207" s="56"/>
      <c r="D207" s="56"/>
      <c r="E207" s="56"/>
      <c r="F207" s="57"/>
      <c r="G207" s="57"/>
      <c r="H207" s="57"/>
      <c r="I207" s="56"/>
      <c r="J207" s="56"/>
      <c r="K207" s="56"/>
      <c r="L207" s="56" t="s">
        <v>895</v>
      </c>
      <c r="M207" s="56">
        <v>7.5</v>
      </c>
      <c r="N207" s="56">
        <v>1</v>
      </c>
      <c r="O207" s="57">
        <v>7500</v>
      </c>
      <c r="P207" s="56">
        <v>6.3</v>
      </c>
      <c r="Q207" s="56">
        <v>6.3</v>
      </c>
      <c r="R207" s="56">
        <v>1.2</v>
      </c>
      <c r="S207" s="56">
        <v>1.2</v>
      </c>
      <c r="T207" s="56">
        <v>6.3</v>
      </c>
      <c r="U207" s="56">
        <v>6.3</v>
      </c>
      <c r="V207" s="56">
        <v>1.2</v>
      </c>
      <c r="W207" s="56">
        <v>1.2</v>
      </c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</row>
    <row r="208" spans="1:39" x14ac:dyDescent="0.4">
      <c r="A208" s="56"/>
      <c r="B208" s="59"/>
      <c r="C208" s="56"/>
      <c r="D208" s="56"/>
      <c r="E208" s="56"/>
      <c r="F208" s="57"/>
      <c r="G208" s="57"/>
      <c r="H208" s="57"/>
      <c r="I208" s="56"/>
      <c r="J208" s="56"/>
      <c r="K208" s="56"/>
      <c r="L208" s="56" t="s">
        <v>896</v>
      </c>
      <c r="M208" s="56">
        <v>6.7</v>
      </c>
      <c r="N208" s="56">
        <v>1</v>
      </c>
      <c r="O208" s="57">
        <v>6700</v>
      </c>
      <c r="P208" s="56">
        <v>5.5</v>
      </c>
      <c r="Q208" s="56">
        <v>5.5</v>
      </c>
      <c r="R208" s="56">
        <v>1.2</v>
      </c>
      <c r="S208" s="56">
        <v>1.2</v>
      </c>
      <c r="T208" s="56">
        <v>5.5</v>
      </c>
      <c r="U208" s="56">
        <v>5.5</v>
      </c>
      <c r="V208" s="56">
        <v>1.2</v>
      </c>
      <c r="W208" s="56">
        <v>1.2</v>
      </c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</row>
    <row r="209" spans="1:39" x14ac:dyDescent="0.4">
      <c r="A209" s="56"/>
      <c r="B209" s="59"/>
      <c r="C209" s="56"/>
      <c r="D209" s="56"/>
      <c r="E209" s="56"/>
      <c r="F209" s="57"/>
      <c r="G209" s="57"/>
      <c r="H209" s="57"/>
      <c r="I209" s="56"/>
      <c r="J209" s="56"/>
      <c r="K209" s="56"/>
      <c r="L209" s="56" t="s">
        <v>897</v>
      </c>
      <c r="M209" s="56">
        <v>6.7</v>
      </c>
      <c r="N209" s="56">
        <v>1</v>
      </c>
      <c r="O209" s="57">
        <v>6700</v>
      </c>
      <c r="P209" s="56">
        <v>5.5</v>
      </c>
      <c r="Q209" s="56">
        <v>5.5</v>
      </c>
      <c r="R209" s="56">
        <v>1.2</v>
      </c>
      <c r="S209" s="56">
        <v>1.2</v>
      </c>
      <c r="T209" s="56">
        <v>5.5</v>
      </c>
      <c r="U209" s="56">
        <v>5.5</v>
      </c>
      <c r="V209" s="56">
        <v>1.2</v>
      </c>
      <c r="W209" s="56">
        <v>1.2</v>
      </c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</row>
    <row r="210" spans="1:39" x14ac:dyDescent="0.4">
      <c r="A210" s="56"/>
      <c r="B210" s="59"/>
      <c r="C210" s="56"/>
      <c r="D210" s="56"/>
      <c r="E210" s="56"/>
      <c r="F210" s="57"/>
      <c r="G210" s="57"/>
      <c r="H210" s="57"/>
      <c r="I210" s="56"/>
      <c r="J210" s="56"/>
      <c r="K210" s="56"/>
      <c r="L210" s="56" t="s">
        <v>898</v>
      </c>
      <c r="M210" s="56">
        <v>6.5</v>
      </c>
      <c r="N210" s="56">
        <v>1</v>
      </c>
      <c r="O210" s="57">
        <v>6500</v>
      </c>
      <c r="P210" s="56">
        <v>5.3</v>
      </c>
      <c r="Q210" s="56">
        <v>5.3</v>
      </c>
      <c r="R210" s="56">
        <v>1.2</v>
      </c>
      <c r="S210" s="56">
        <v>1.2</v>
      </c>
      <c r="T210" s="56">
        <v>5.3</v>
      </c>
      <c r="U210" s="56">
        <v>5.3</v>
      </c>
      <c r="V210" s="56">
        <v>1.2</v>
      </c>
      <c r="W210" s="56">
        <v>1.2</v>
      </c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</row>
    <row r="211" spans="1:39" x14ac:dyDescent="0.4">
      <c r="A211" s="56"/>
      <c r="B211" s="59"/>
      <c r="C211" s="56"/>
      <c r="D211" s="56"/>
      <c r="E211" s="56"/>
      <c r="F211" s="57"/>
      <c r="G211" s="57"/>
      <c r="H211" s="57"/>
      <c r="I211" s="56"/>
      <c r="J211" s="56"/>
      <c r="K211" s="56"/>
      <c r="L211" s="56" t="s">
        <v>899</v>
      </c>
      <c r="M211" s="56">
        <v>6.5</v>
      </c>
      <c r="N211" s="56">
        <v>3</v>
      </c>
      <c r="O211" s="57">
        <v>19500</v>
      </c>
      <c r="P211" s="56">
        <v>5.3</v>
      </c>
      <c r="Q211" s="56">
        <v>15.9</v>
      </c>
      <c r="R211" s="56">
        <v>1.2</v>
      </c>
      <c r="S211" s="56">
        <v>3.6</v>
      </c>
      <c r="T211" s="56">
        <v>5.3</v>
      </c>
      <c r="U211" s="56">
        <v>15.9</v>
      </c>
      <c r="V211" s="56">
        <v>1.2</v>
      </c>
      <c r="W211" s="56">
        <v>3.6</v>
      </c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</row>
    <row r="212" spans="1:39" x14ac:dyDescent="0.4">
      <c r="A212" s="56"/>
      <c r="B212" s="59"/>
      <c r="C212" s="56"/>
      <c r="D212" s="56"/>
      <c r="E212" s="56"/>
      <c r="F212" s="57"/>
      <c r="G212" s="57"/>
      <c r="H212" s="57"/>
      <c r="I212" s="56"/>
      <c r="J212" s="56"/>
      <c r="K212" s="56"/>
      <c r="L212" s="56" t="s">
        <v>900</v>
      </c>
      <c r="M212" s="56">
        <v>10.1</v>
      </c>
      <c r="N212" s="56">
        <v>1</v>
      </c>
      <c r="O212" s="57">
        <v>10100</v>
      </c>
      <c r="P212" s="56">
        <v>8.6</v>
      </c>
      <c r="Q212" s="56">
        <v>8.6</v>
      </c>
      <c r="R212" s="56">
        <v>1.5</v>
      </c>
      <c r="S212" s="56">
        <v>1.5</v>
      </c>
      <c r="T212" s="56">
        <v>8.6</v>
      </c>
      <c r="U212" s="56">
        <v>8.6</v>
      </c>
      <c r="V212" s="56">
        <v>1.5</v>
      </c>
      <c r="W212" s="56">
        <v>1.5</v>
      </c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</row>
    <row r="213" spans="1:39" x14ac:dyDescent="0.4">
      <c r="A213" s="56"/>
      <c r="B213" s="59"/>
      <c r="C213" s="56"/>
      <c r="D213" s="56"/>
      <c r="E213" s="56"/>
      <c r="F213" s="57"/>
      <c r="G213" s="57"/>
      <c r="H213" s="57"/>
      <c r="I213" s="56"/>
      <c r="J213" s="56"/>
      <c r="K213" s="56"/>
      <c r="L213" s="56" t="s">
        <v>901</v>
      </c>
      <c r="M213" s="56">
        <v>3.5</v>
      </c>
      <c r="N213" s="56">
        <v>4</v>
      </c>
      <c r="O213" s="57">
        <v>14000</v>
      </c>
      <c r="P213" s="56">
        <v>3</v>
      </c>
      <c r="Q213" s="56">
        <v>12</v>
      </c>
      <c r="R213" s="56">
        <v>0.5</v>
      </c>
      <c r="S213" s="56">
        <v>2</v>
      </c>
      <c r="T213" s="56">
        <v>3</v>
      </c>
      <c r="U213" s="56">
        <v>12</v>
      </c>
      <c r="V213" s="56">
        <v>0.5</v>
      </c>
      <c r="W213" s="56">
        <v>2</v>
      </c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</row>
    <row r="214" spans="1:39" x14ac:dyDescent="0.4">
      <c r="A214" s="56"/>
      <c r="B214" s="59"/>
      <c r="C214" s="56"/>
      <c r="D214" s="56"/>
      <c r="E214" s="56"/>
      <c r="F214" s="57"/>
      <c r="G214" s="57"/>
      <c r="H214" s="57"/>
      <c r="I214" s="56"/>
      <c r="J214" s="56"/>
      <c r="K214" s="56"/>
      <c r="L214" s="56" t="s">
        <v>810</v>
      </c>
      <c r="M214" s="56"/>
      <c r="N214" s="56"/>
      <c r="O214" s="57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</row>
    <row r="215" spans="1:39" x14ac:dyDescent="0.4">
      <c r="A215" s="56"/>
      <c r="B215" s="59"/>
      <c r="C215" s="56"/>
      <c r="D215" s="56"/>
      <c r="E215" s="56"/>
      <c r="F215" s="57"/>
      <c r="G215" s="57"/>
      <c r="H215" s="57"/>
      <c r="I215" s="56"/>
      <c r="J215" s="56"/>
      <c r="K215" s="56"/>
      <c r="L215" s="57" t="s">
        <v>902</v>
      </c>
      <c r="M215" s="56">
        <v>21</v>
      </c>
      <c r="N215" s="56">
        <v>1</v>
      </c>
      <c r="O215" s="57">
        <v>21000</v>
      </c>
      <c r="P215" s="56">
        <v>19.2</v>
      </c>
      <c r="Q215" s="56">
        <v>19.2</v>
      </c>
      <c r="R215" s="56">
        <v>1.8</v>
      </c>
      <c r="S215" s="56">
        <v>1.8</v>
      </c>
      <c r="T215" s="56">
        <v>19.2</v>
      </c>
      <c r="U215" s="56">
        <v>19.2</v>
      </c>
      <c r="V215" s="56">
        <v>1.8</v>
      </c>
      <c r="W215" s="56">
        <v>1.8</v>
      </c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</row>
    <row r="216" spans="1:39" x14ac:dyDescent="0.4">
      <c r="A216" s="56"/>
      <c r="B216" s="59"/>
      <c r="C216" s="56"/>
      <c r="D216" s="56"/>
      <c r="E216" s="56"/>
      <c r="F216" s="57"/>
      <c r="G216" s="57"/>
      <c r="H216" s="57"/>
      <c r="I216" s="56"/>
      <c r="J216" s="56"/>
      <c r="K216" s="56"/>
      <c r="L216" s="57" t="s">
        <v>472</v>
      </c>
      <c r="M216" s="56"/>
      <c r="N216" s="56"/>
      <c r="O216" s="57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</row>
    <row r="217" spans="1:39" x14ac:dyDescent="0.4">
      <c r="A217" s="56"/>
      <c r="B217" s="59"/>
      <c r="C217" s="56"/>
      <c r="D217" s="56"/>
      <c r="E217" s="56"/>
      <c r="F217" s="57"/>
      <c r="G217" s="57"/>
      <c r="H217" s="57"/>
      <c r="I217" s="56"/>
      <c r="J217" s="56"/>
      <c r="K217" s="56"/>
      <c r="L217" s="57" t="s">
        <v>903</v>
      </c>
      <c r="M217" s="56">
        <v>16.899999999999999</v>
      </c>
      <c r="N217" s="56">
        <v>1</v>
      </c>
      <c r="O217" s="57">
        <v>16900</v>
      </c>
      <c r="P217" s="56">
        <v>14.4</v>
      </c>
      <c r="Q217" s="56">
        <v>14.4</v>
      </c>
      <c r="R217" s="56">
        <v>2.5</v>
      </c>
      <c r="S217" s="56">
        <v>2.5</v>
      </c>
      <c r="T217" s="56">
        <v>14.4</v>
      </c>
      <c r="U217" s="56">
        <v>14.4</v>
      </c>
      <c r="V217" s="56">
        <v>2.5</v>
      </c>
      <c r="W217" s="56">
        <v>2.5</v>
      </c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</row>
    <row r="218" spans="1:39" x14ac:dyDescent="0.4">
      <c r="A218" s="56"/>
      <c r="B218" s="59"/>
      <c r="C218" s="56"/>
      <c r="D218" s="56"/>
      <c r="E218" s="56"/>
      <c r="F218" s="57"/>
      <c r="G218" s="57"/>
      <c r="H218" s="57"/>
      <c r="I218" s="56"/>
      <c r="J218" s="56"/>
      <c r="K218" s="56"/>
      <c r="L218" s="57" t="s">
        <v>903</v>
      </c>
      <c r="M218" s="56">
        <v>20.100000000000001</v>
      </c>
      <c r="N218" s="56">
        <v>1</v>
      </c>
      <c r="O218" s="57">
        <v>20100</v>
      </c>
      <c r="P218" s="56">
        <v>17.399999999999999</v>
      </c>
      <c r="Q218" s="56">
        <v>17.399999999999999</v>
      </c>
      <c r="R218" s="56">
        <v>2.7</v>
      </c>
      <c r="S218" s="56">
        <v>2.7</v>
      </c>
      <c r="T218" s="56">
        <v>17.399999999999999</v>
      </c>
      <c r="U218" s="56">
        <v>17.399999999999999</v>
      </c>
      <c r="V218" s="56">
        <v>2.7</v>
      </c>
      <c r="W218" s="56">
        <v>2.7</v>
      </c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</row>
    <row r="219" spans="1:39" x14ac:dyDescent="0.4">
      <c r="A219" s="56"/>
      <c r="B219" s="59"/>
      <c r="C219" s="56"/>
      <c r="D219" s="56"/>
      <c r="E219" s="56"/>
      <c r="F219" s="57"/>
      <c r="G219" s="57"/>
      <c r="H219" s="57"/>
      <c r="I219" s="56"/>
      <c r="J219" s="56"/>
      <c r="K219" s="56"/>
      <c r="L219" s="57" t="s">
        <v>903</v>
      </c>
      <c r="M219" s="56">
        <v>22</v>
      </c>
      <c r="N219" s="56">
        <v>1</v>
      </c>
      <c r="O219" s="57">
        <v>22000</v>
      </c>
      <c r="P219" s="56">
        <v>19.3</v>
      </c>
      <c r="Q219" s="56">
        <v>19.3</v>
      </c>
      <c r="R219" s="56">
        <v>2.7</v>
      </c>
      <c r="S219" s="56">
        <v>2.7</v>
      </c>
      <c r="T219" s="56">
        <v>19.3</v>
      </c>
      <c r="U219" s="56">
        <v>19.3</v>
      </c>
      <c r="V219" s="56">
        <v>2.7</v>
      </c>
      <c r="W219" s="56">
        <v>2.7</v>
      </c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</row>
    <row r="220" spans="1:39" x14ac:dyDescent="0.4">
      <c r="A220" s="56"/>
      <c r="B220" s="59"/>
      <c r="C220" s="56"/>
      <c r="D220" s="56"/>
      <c r="E220" s="56"/>
      <c r="F220" s="57"/>
      <c r="G220" s="57"/>
      <c r="H220" s="57"/>
      <c r="I220" s="56"/>
      <c r="J220" s="56"/>
      <c r="K220" s="56"/>
      <c r="L220" s="57" t="s">
        <v>904</v>
      </c>
      <c r="M220" s="56">
        <v>9.5</v>
      </c>
      <c r="N220" s="56">
        <v>1</v>
      </c>
      <c r="O220" s="57">
        <v>9500</v>
      </c>
      <c r="P220" s="56">
        <v>8</v>
      </c>
      <c r="Q220" s="56">
        <v>8</v>
      </c>
      <c r="R220" s="56">
        <v>1.5</v>
      </c>
      <c r="S220" s="56">
        <v>1.5</v>
      </c>
      <c r="T220" s="56">
        <v>8</v>
      </c>
      <c r="U220" s="56">
        <v>8</v>
      </c>
      <c r="V220" s="56">
        <v>1.5</v>
      </c>
      <c r="W220" s="56">
        <v>1.5</v>
      </c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</row>
    <row r="221" spans="1:39" x14ac:dyDescent="0.4">
      <c r="A221" s="56"/>
      <c r="B221" s="59"/>
      <c r="C221" s="56"/>
      <c r="D221" s="56"/>
      <c r="E221" s="56"/>
      <c r="F221" s="57"/>
      <c r="G221" s="57"/>
      <c r="H221" s="57"/>
      <c r="I221" s="56"/>
      <c r="J221" s="56"/>
      <c r="K221" s="56"/>
      <c r="L221" s="57" t="s">
        <v>905</v>
      </c>
      <c r="M221" s="56">
        <v>21</v>
      </c>
      <c r="N221" s="56">
        <v>1</v>
      </c>
      <c r="O221" s="57">
        <v>21000</v>
      </c>
      <c r="P221" s="56">
        <v>18.3</v>
      </c>
      <c r="Q221" s="56">
        <v>18.3</v>
      </c>
      <c r="R221" s="56">
        <v>2.7</v>
      </c>
      <c r="S221" s="56">
        <v>2.7</v>
      </c>
      <c r="T221" s="56">
        <v>18.3</v>
      </c>
      <c r="U221" s="56">
        <v>18.3</v>
      </c>
      <c r="V221" s="56">
        <v>2.7</v>
      </c>
      <c r="W221" s="56">
        <v>2.7</v>
      </c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</row>
    <row r="222" spans="1:39" x14ac:dyDescent="0.4">
      <c r="A222" s="56"/>
      <c r="B222" s="59"/>
      <c r="C222" s="56"/>
      <c r="D222" s="56"/>
      <c r="E222" s="56"/>
      <c r="F222" s="57"/>
      <c r="G222" s="57"/>
      <c r="H222" s="57"/>
      <c r="I222" s="56"/>
      <c r="J222" s="56"/>
      <c r="K222" s="56"/>
      <c r="L222" s="57" t="s">
        <v>473</v>
      </c>
      <c r="M222" s="56"/>
      <c r="N222" s="56"/>
      <c r="O222" s="57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</row>
    <row r="223" spans="1:39" x14ac:dyDescent="0.4">
      <c r="A223" s="56"/>
      <c r="B223" s="59"/>
      <c r="C223" s="56"/>
      <c r="D223" s="56"/>
      <c r="E223" s="56"/>
      <c r="F223" s="57"/>
      <c r="G223" s="57"/>
      <c r="H223" s="57"/>
      <c r="I223" s="56"/>
      <c r="J223" s="56"/>
      <c r="K223" s="56"/>
      <c r="L223" s="57" t="s">
        <v>906</v>
      </c>
      <c r="M223" s="56">
        <v>45.2</v>
      </c>
      <c r="N223" s="56">
        <v>1</v>
      </c>
      <c r="O223" s="57">
        <v>45200</v>
      </c>
      <c r="P223" s="56">
        <v>44.8</v>
      </c>
      <c r="Q223" s="56">
        <v>44.8</v>
      </c>
      <c r="R223" s="56">
        <v>0.4</v>
      </c>
      <c r="S223" s="56">
        <v>0.4</v>
      </c>
      <c r="T223" s="56">
        <v>44.8</v>
      </c>
      <c r="U223" s="56">
        <v>44.8</v>
      </c>
      <c r="V223" s="56">
        <v>0.4</v>
      </c>
      <c r="W223" s="56">
        <v>0.4</v>
      </c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</row>
    <row r="224" spans="1:39" x14ac:dyDescent="0.4">
      <c r="A224" s="56"/>
      <c r="B224" s="59"/>
      <c r="C224" s="56"/>
      <c r="D224" s="56"/>
      <c r="E224" s="56"/>
      <c r="F224" s="57"/>
      <c r="G224" s="57"/>
      <c r="H224" s="57"/>
      <c r="I224" s="56"/>
      <c r="J224" s="56"/>
      <c r="K224" s="56"/>
      <c r="L224" s="56" t="s">
        <v>907</v>
      </c>
      <c r="M224" s="56"/>
      <c r="N224" s="56"/>
      <c r="O224" s="57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</row>
    <row r="225" spans="1:39" x14ac:dyDescent="0.4">
      <c r="A225" s="56"/>
      <c r="B225" s="59"/>
      <c r="C225" s="56"/>
      <c r="D225" s="56"/>
      <c r="E225" s="56"/>
      <c r="F225" s="57"/>
      <c r="G225" s="57"/>
      <c r="H225" s="57"/>
      <c r="I225" s="56"/>
      <c r="J225" s="56"/>
      <c r="K225" s="56"/>
      <c r="L225" s="57" t="s">
        <v>908</v>
      </c>
      <c r="M225" s="56">
        <v>29.8</v>
      </c>
      <c r="N225" s="56">
        <v>3</v>
      </c>
      <c r="O225" s="57">
        <v>89400</v>
      </c>
      <c r="P225" s="56">
        <v>29.6</v>
      </c>
      <c r="Q225" s="56">
        <v>88.8</v>
      </c>
      <c r="R225" s="56">
        <v>0.2</v>
      </c>
      <c r="S225" s="56">
        <v>0.6</v>
      </c>
      <c r="T225" s="56">
        <v>29.6</v>
      </c>
      <c r="U225" s="56">
        <v>88.8</v>
      </c>
      <c r="V225" s="56">
        <v>0.2</v>
      </c>
      <c r="W225" s="56">
        <v>0.6</v>
      </c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</row>
    <row r="226" spans="1:39" x14ac:dyDescent="0.4">
      <c r="A226" s="56"/>
      <c r="B226" s="59"/>
      <c r="C226" s="56"/>
      <c r="D226" s="56"/>
      <c r="E226" s="56"/>
      <c r="F226" s="57"/>
      <c r="G226" s="57"/>
      <c r="H226" s="57"/>
      <c r="I226" s="56"/>
      <c r="J226" s="56"/>
      <c r="K226" s="56"/>
      <c r="L226" s="56" t="s">
        <v>909</v>
      </c>
      <c r="M226" s="56">
        <v>32.1</v>
      </c>
      <c r="N226" s="56">
        <v>1</v>
      </c>
      <c r="O226" s="57">
        <v>32100</v>
      </c>
      <c r="P226" s="56">
        <v>31.9</v>
      </c>
      <c r="Q226" s="56">
        <v>31.9</v>
      </c>
      <c r="R226" s="56">
        <v>0.2</v>
      </c>
      <c r="S226" s="56">
        <v>0.2</v>
      </c>
      <c r="T226" s="56">
        <v>31.9</v>
      </c>
      <c r="U226" s="56">
        <v>31.9</v>
      </c>
      <c r="V226" s="56">
        <v>0.2</v>
      </c>
      <c r="W226" s="56">
        <v>0.2</v>
      </c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</row>
    <row r="227" spans="1:39" x14ac:dyDescent="0.4">
      <c r="A227" s="56"/>
      <c r="B227" s="59"/>
      <c r="C227" s="56"/>
      <c r="D227" s="56"/>
      <c r="E227" s="56"/>
      <c r="F227" s="57"/>
      <c r="G227" s="57"/>
      <c r="H227" s="57"/>
      <c r="I227" s="56"/>
      <c r="J227" s="56"/>
      <c r="K227" s="56"/>
      <c r="L227" s="57" t="s">
        <v>910</v>
      </c>
      <c r="M227" s="56"/>
      <c r="N227" s="56"/>
      <c r="O227" s="57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</row>
    <row r="228" spans="1:39" x14ac:dyDescent="0.4">
      <c r="A228" s="56"/>
      <c r="B228" s="59"/>
      <c r="C228" s="56"/>
      <c r="D228" s="56"/>
      <c r="E228" s="56"/>
      <c r="F228" s="57"/>
      <c r="G228" s="57"/>
      <c r="H228" s="57"/>
      <c r="I228" s="56"/>
      <c r="J228" s="56"/>
      <c r="K228" s="56"/>
      <c r="L228" s="56" t="s">
        <v>908</v>
      </c>
      <c r="M228" s="56">
        <v>31</v>
      </c>
      <c r="N228" s="56">
        <v>3</v>
      </c>
      <c r="O228" s="57">
        <v>93000</v>
      </c>
      <c r="P228" s="56">
        <v>30.8</v>
      </c>
      <c r="Q228" s="56">
        <v>92.4</v>
      </c>
      <c r="R228" s="56">
        <v>0.2</v>
      </c>
      <c r="S228" s="56">
        <v>0.6</v>
      </c>
      <c r="T228" s="56">
        <v>30.8</v>
      </c>
      <c r="U228" s="56">
        <v>92.4</v>
      </c>
      <c r="V228" s="56">
        <v>0.2</v>
      </c>
      <c r="W228" s="56">
        <v>0.6</v>
      </c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</row>
    <row r="229" spans="1:39" x14ac:dyDescent="0.4">
      <c r="A229" s="56"/>
      <c r="B229" s="59"/>
      <c r="C229" s="56"/>
      <c r="D229" s="56"/>
      <c r="E229" s="56"/>
      <c r="F229" s="57"/>
      <c r="G229" s="57"/>
      <c r="H229" s="57"/>
      <c r="I229" s="56"/>
      <c r="J229" s="56"/>
      <c r="K229" s="56"/>
      <c r="L229" s="56" t="s">
        <v>910</v>
      </c>
      <c r="M229" s="56"/>
      <c r="N229" s="56"/>
      <c r="O229" s="57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</row>
    <row r="230" spans="1:39" x14ac:dyDescent="0.4">
      <c r="A230" s="56"/>
      <c r="B230" s="59"/>
      <c r="C230" s="56"/>
      <c r="D230" s="56"/>
      <c r="E230" s="56"/>
      <c r="F230" s="57"/>
      <c r="G230" s="57"/>
      <c r="H230" s="57"/>
      <c r="I230" s="56"/>
      <c r="J230" s="56"/>
      <c r="K230" s="56"/>
      <c r="L230" s="57" t="s">
        <v>911</v>
      </c>
      <c r="M230" s="56">
        <v>31</v>
      </c>
      <c r="N230" s="56">
        <v>1</v>
      </c>
      <c r="O230" s="57">
        <v>31000</v>
      </c>
      <c r="P230" s="56">
        <v>30.8</v>
      </c>
      <c r="Q230" s="56">
        <v>30.8</v>
      </c>
      <c r="R230" s="56">
        <v>0.2</v>
      </c>
      <c r="S230" s="56">
        <v>0.2</v>
      </c>
      <c r="T230" s="56">
        <v>30.8</v>
      </c>
      <c r="U230" s="56">
        <v>30.8</v>
      </c>
      <c r="V230" s="56">
        <v>0.2</v>
      </c>
      <c r="W230" s="56">
        <v>0.2</v>
      </c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</row>
    <row r="231" spans="1:39" x14ac:dyDescent="0.4">
      <c r="A231" s="56"/>
      <c r="B231" s="59"/>
      <c r="C231" s="56"/>
      <c r="D231" s="56"/>
      <c r="E231" s="56"/>
      <c r="F231" s="57"/>
      <c r="G231" s="57"/>
      <c r="H231" s="57"/>
      <c r="I231" s="56"/>
      <c r="J231" s="56"/>
      <c r="K231" s="56"/>
      <c r="L231" s="56" t="s">
        <v>763</v>
      </c>
      <c r="M231" s="56">
        <v>1.3</v>
      </c>
      <c r="N231" s="56">
        <v>1</v>
      </c>
      <c r="O231" s="57">
        <v>1300</v>
      </c>
      <c r="P231" s="56">
        <v>0</v>
      </c>
      <c r="Q231" s="56">
        <v>0</v>
      </c>
      <c r="R231" s="56">
        <v>1.3</v>
      </c>
      <c r="S231" s="56">
        <v>1.3</v>
      </c>
      <c r="T231" s="56">
        <v>0</v>
      </c>
      <c r="U231" s="56">
        <v>0</v>
      </c>
      <c r="V231" s="56">
        <v>1.3</v>
      </c>
      <c r="W231" s="56">
        <v>1.3</v>
      </c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</row>
    <row r="232" spans="1:39" x14ac:dyDescent="0.4">
      <c r="A232" s="56"/>
      <c r="B232" s="59"/>
      <c r="C232" s="56"/>
      <c r="D232" s="56"/>
      <c r="E232" s="56"/>
      <c r="F232" s="57"/>
      <c r="G232" s="57"/>
      <c r="H232" s="57"/>
      <c r="I232" s="56"/>
      <c r="J232" s="56"/>
      <c r="K232" s="56"/>
      <c r="L232" s="57" t="s">
        <v>474</v>
      </c>
      <c r="M232" s="56"/>
      <c r="N232" s="56"/>
      <c r="O232" s="57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</row>
    <row r="233" spans="1:39" x14ac:dyDescent="0.4">
      <c r="A233" s="56"/>
      <c r="B233" s="59"/>
      <c r="C233" s="56"/>
      <c r="D233" s="56"/>
      <c r="E233" s="56"/>
      <c r="F233" s="57"/>
      <c r="G233" s="57"/>
      <c r="H233" s="57"/>
      <c r="I233" s="56"/>
      <c r="J233" s="56"/>
      <c r="K233" s="56"/>
      <c r="L233" s="56" t="s">
        <v>475</v>
      </c>
      <c r="M233" s="56">
        <v>2.5</v>
      </c>
      <c r="N233" s="56">
        <v>3</v>
      </c>
      <c r="O233" s="57">
        <v>7500</v>
      </c>
      <c r="P233" s="56">
        <v>0</v>
      </c>
      <c r="Q233" s="56">
        <v>0</v>
      </c>
      <c r="R233" s="56">
        <v>2.5</v>
      </c>
      <c r="S233" s="56">
        <v>7.5</v>
      </c>
      <c r="T233" s="56">
        <v>0</v>
      </c>
      <c r="U233" s="56">
        <v>0</v>
      </c>
      <c r="V233" s="56">
        <v>2.5</v>
      </c>
      <c r="W233" s="56">
        <v>7.5</v>
      </c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</row>
    <row r="234" spans="1:39" x14ac:dyDescent="0.4">
      <c r="A234" s="56"/>
      <c r="B234" s="59"/>
      <c r="C234" s="56"/>
      <c r="D234" s="56"/>
      <c r="E234" s="56"/>
      <c r="F234" s="57"/>
      <c r="G234" s="57"/>
      <c r="H234" s="57"/>
      <c r="I234" s="56"/>
      <c r="J234" s="56"/>
      <c r="K234" s="56"/>
      <c r="L234" s="57" t="s">
        <v>476</v>
      </c>
      <c r="M234" s="56"/>
      <c r="N234" s="56"/>
      <c r="O234" s="57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</row>
    <row r="235" spans="1:39" x14ac:dyDescent="0.4">
      <c r="A235" s="56"/>
      <c r="B235" s="59"/>
      <c r="C235" s="56"/>
      <c r="D235" s="56"/>
      <c r="E235" s="56"/>
      <c r="F235" s="57"/>
      <c r="G235" s="57"/>
      <c r="H235" s="57"/>
      <c r="I235" s="56"/>
      <c r="J235" s="56"/>
      <c r="K235" s="56"/>
      <c r="L235" s="57" t="s">
        <v>912</v>
      </c>
      <c r="M235" s="56">
        <v>65</v>
      </c>
      <c r="N235" s="56">
        <v>1</v>
      </c>
      <c r="O235" s="57">
        <v>65000</v>
      </c>
      <c r="P235" s="56">
        <v>62</v>
      </c>
      <c r="Q235" s="56">
        <v>62</v>
      </c>
      <c r="R235" s="56">
        <v>3</v>
      </c>
      <c r="S235" s="56">
        <v>3</v>
      </c>
      <c r="T235" s="56">
        <v>62</v>
      </c>
      <c r="U235" s="56">
        <v>62</v>
      </c>
      <c r="V235" s="56">
        <v>3</v>
      </c>
      <c r="W235" s="56">
        <v>3</v>
      </c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</row>
    <row r="236" spans="1:39" x14ac:dyDescent="0.4">
      <c r="A236" s="56"/>
      <c r="B236" s="59"/>
      <c r="C236" s="56"/>
      <c r="D236" s="56"/>
      <c r="E236" s="56"/>
      <c r="F236" s="57"/>
      <c r="G236" s="57"/>
      <c r="H236" s="57"/>
      <c r="I236" s="56"/>
      <c r="J236" s="56" t="s">
        <v>243</v>
      </c>
      <c r="K236" s="56"/>
      <c r="L236" s="57" t="s">
        <v>913</v>
      </c>
      <c r="M236" s="56">
        <v>37.700000000000003</v>
      </c>
      <c r="N236" s="56">
        <v>1</v>
      </c>
      <c r="O236" s="57">
        <v>37700</v>
      </c>
      <c r="P236" s="56">
        <v>35.6</v>
      </c>
      <c r="Q236" s="56">
        <v>35.6</v>
      </c>
      <c r="R236" s="56">
        <v>2.1</v>
      </c>
      <c r="S236" s="56">
        <v>2.1</v>
      </c>
      <c r="T236" s="56">
        <v>35.6</v>
      </c>
      <c r="U236" s="56">
        <v>35.6</v>
      </c>
      <c r="V236" s="56">
        <v>2.1</v>
      </c>
      <c r="W236" s="56">
        <v>2.1</v>
      </c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</row>
    <row r="237" spans="1:39" x14ac:dyDescent="0.4">
      <c r="A237" s="56"/>
      <c r="B237" s="59"/>
      <c r="C237" s="56"/>
      <c r="D237" s="56"/>
      <c r="E237" s="56"/>
      <c r="F237" s="57"/>
      <c r="G237" s="57"/>
      <c r="H237" s="57"/>
      <c r="I237" s="56"/>
      <c r="J237" s="56"/>
      <c r="K237" s="56"/>
      <c r="L237" s="57" t="s">
        <v>914</v>
      </c>
      <c r="M237" s="56">
        <v>3.5</v>
      </c>
      <c r="N237" s="56">
        <v>1</v>
      </c>
      <c r="O237" s="57">
        <v>3500</v>
      </c>
      <c r="P237" s="56">
        <v>2.9</v>
      </c>
      <c r="Q237" s="56">
        <v>2.9</v>
      </c>
      <c r="R237" s="56">
        <v>0.6</v>
      </c>
      <c r="S237" s="56">
        <v>0.6</v>
      </c>
      <c r="T237" s="56">
        <v>2.9</v>
      </c>
      <c r="U237" s="56">
        <v>2.9</v>
      </c>
      <c r="V237" s="56">
        <v>0.6</v>
      </c>
      <c r="W237" s="56">
        <v>0.6</v>
      </c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</row>
    <row r="238" spans="1:39" x14ac:dyDescent="0.4">
      <c r="A238" s="56"/>
      <c r="B238" s="59"/>
      <c r="C238" s="56"/>
      <c r="D238" s="56"/>
      <c r="E238" s="56"/>
      <c r="F238" s="57"/>
      <c r="G238" s="57"/>
      <c r="H238" s="57"/>
      <c r="I238" s="56"/>
      <c r="J238" s="56"/>
      <c r="K238" s="56"/>
      <c r="L238" s="56" t="s">
        <v>915</v>
      </c>
      <c r="M238" s="56">
        <v>-0.1</v>
      </c>
      <c r="N238" s="56">
        <v>3</v>
      </c>
      <c r="O238" s="57">
        <v>-300</v>
      </c>
      <c r="P238" s="56">
        <v>0.4</v>
      </c>
      <c r="Q238" s="56">
        <v>1.2</v>
      </c>
      <c r="R238" s="56">
        <v>-0.5</v>
      </c>
      <c r="S238" s="56">
        <v>-1.5</v>
      </c>
      <c r="T238" s="56">
        <v>0.4</v>
      </c>
      <c r="U238" s="56">
        <v>1.2</v>
      </c>
      <c r="V238" s="56">
        <v>-0.5</v>
      </c>
      <c r="W238" s="56">
        <v>-1.5</v>
      </c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</row>
    <row r="239" spans="1:39" x14ac:dyDescent="0.4">
      <c r="A239" s="56"/>
      <c r="B239" s="59"/>
      <c r="C239" s="56"/>
      <c r="D239" s="56"/>
      <c r="E239" s="56"/>
      <c r="F239" s="57"/>
      <c r="G239" s="57"/>
      <c r="H239" s="57"/>
      <c r="I239" s="56"/>
      <c r="J239" s="56"/>
      <c r="K239" s="56"/>
      <c r="L239" s="57" t="s">
        <v>916</v>
      </c>
      <c r="M239" s="56"/>
      <c r="N239" s="56"/>
      <c r="O239" s="57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</row>
    <row r="240" spans="1:39" x14ac:dyDescent="0.4">
      <c r="A240" s="56"/>
      <c r="B240" s="59"/>
      <c r="C240" s="56"/>
      <c r="D240" s="56"/>
      <c r="E240" s="56"/>
      <c r="F240" s="57"/>
      <c r="G240" s="57"/>
      <c r="H240" s="57"/>
      <c r="I240" s="56"/>
      <c r="J240" s="56"/>
      <c r="K240" s="56"/>
      <c r="L240" s="57" t="s">
        <v>811</v>
      </c>
      <c r="M240" s="56"/>
      <c r="N240" s="56"/>
      <c r="O240" s="57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</row>
    <row r="241" spans="1:39" x14ac:dyDescent="0.4">
      <c r="A241" s="56"/>
      <c r="B241" s="59"/>
      <c r="C241" s="56"/>
      <c r="D241" s="56"/>
      <c r="E241" s="56"/>
      <c r="F241" s="57"/>
      <c r="G241" s="57"/>
      <c r="H241" s="57"/>
      <c r="I241" s="56"/>
      <c r="J241" s="56"/>
      <c r="K241" s="56"/>
      <c r="L241" s="56" t="s">
        <v>812</v>
      </c>
      <c r="M241" s="56">
        <v>0.7</v>
      </c>
      <c r="N241" s="56">
        <v>15</v>
      </c>
      <c r="O241" s="57">
        <v>10500</v>
      </c>
      <c r="P241" s="56">
        <v>0.5</v>
      </c>
      <c r="Q241" s="56">
        <v>7.5</v>
      </c>
      <c r="R241" s="56">
        <v>0.2</v>
      </c>
      <c r="S241" s="56">
        <v>3</v>
      </c>
      <c r="T241" s="56">
        <v>0.5</v>
      </c>
      <c r="U241" s="56">
        <v>7.5</v>
      </c>
      <c r="V241" s="56">
        <v>0.2</v>
      </c>
      <c r="W241" s="56">
        <v>3</v>
      </c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</row>
    <row r="242" spans="1:39" x14ac:dyDescent="0.4">
      <c r="A242" s="56"/>
      <c r="B242" s="59"/>
      <c r="C242" s="56"/>
      <c r="D242" s="56"/>
      <c r="E242" s="56"/>
      <c r="F242" s="57"/>
      <c r="G242" s="57"/>
      <c r="H242" s="57"/>
      <c r="I242" s="56"/>
      <c r="J242" s="56"/>
      <c r="K242" s="56" t="s">
        <v>477</v>
      </c>
      <c r="L242" s="57"/>
      <c r="M242" s="56"/>
      <c r="N242" s="56"/>
      <c r="O242" s="57">
        <v>1074800</v>
      </c>
      <c r="P242" s="56"/>
      <c r="Q242" s="56">
        <v>1002.2</v>
      </c>
      <c r="R242" s="56"/>
      <c r="S242" s="56">
        <v>72.599999999999994</v>
      </c>
      <c r="T242" s="56"/>
      <c r="U242" s="56">
        <v>1002.2</v>
      </c>
      <c r="V242" s="56"/>
      <c r="W242" s="56">
        <v>72.599999999999994</v>
      </c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</row>
    <row r="243" spans="1:39" x14ac:dyDescent="0.4">
      <c r="A243" s="56"/>
      <c r="B243" s="59"/>
      <c r="C243" s="56"/>
      <c r="D243" s="56"/>
      <c r="E243" s="56"/>
      <c r="F243" s="57"/>
      <c r="G243" s="57"/>
      <c r="H243" s="57"/>
      <c r="I243" s="56"/>
      <c r="J243" s="56"/>
      <c r="K243" s="56" t="s">
        <v>478</v>
      </c>
      <c r="L243" s="56"/>
      <c r="M243" s="56"/>
      <c r="N243" s="56"/>
      <c r="O243" s="57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</row>
    <row r="244" spans="1:39" x14ac:dyDescent="0.4">
      <c r="A244" s="56"/>
      <c r="B244" s="59"/>
      <c r="C244" s="56"/>
      <c r="D244" s="56"/>
      <c r="E244" s="56"/>
      <c r="F244" s="57"/>
      <c r="G244" s="57"/>
      <c r="H244" s="57"/>
      <c r="I244" s="56"/>
      <c r="J244" s="56"/>
      <c r="K244" s="56"/>
      <c r="L244" s="57" t="s">
        <v>764</v>
      </c>
      <c r="M244" s="56"/>
      <c r="N244" s="56"/>
      <c r="O244" s="57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</row>
    <row r="245" spans="1:39" x14ac:dyDescent="0.4">
      <c r="A245" s="56"/>
      <c r="B245" s="59"/>
      <c r="C245" s="56"/>
      <c r="D245" s="56"/>
      <c r="E245" s="56"/>
      <c r="F245" s="57"/>
      <c r="G245" s="57"/>
      <c r="H245" s="57"/>
      <c r="I245" s="56"/>
      <c r="J245" s="56"/>
      <c r="K245" s="56"/>
      <c r="L245" s="57" t="s">
        <v>813</v>
      </c>
      <c r="M245" s="56">
        <v>4.0999999999999996</v>
      </c>
      <c r="N245" s="56">
        <v>2</v>
      </c>
      <c r="O245" s="57">
        <v>8200</v>
      </c>
      <c r="P245" s="56">
        <v>3</v>
      </c>
      <c r="Q245" s="56">
        <v>6</v>
      </c>
      <c r="R245" s="56">
        <v>1.1000000000000001</v>
      </c>
      <c r="S245" s="56">
        <v>2.2000000000000002</v>
      </c>
      <c r="T245" s="56">
        <v>3</v>
      </c>
      <c r="U245" s="56">
        <v>6</v>
      </c>
      <c r="V245" s="56">
        <v>1.1000000000000001</v>
      </c>
      <c r="W245" s="56">
        <v>2.2000000000000002</v>
      </c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</row>
    <row r="246" spans="1:39" x14ac:dyDescent="0.4">
      <c r="A246" s="56"/>
      <c r="B246" s="59"/>
      <c r="C246" s="56"/>
      <c r="D246" s="56"/>
      <c r="E246" s="56"/>
      <c r="F246" s="57"/>
      <c r="G246" s="57"/>
      <c r="H246" s="57"/>
      <c r="I246" s="56"/>
      <c r="J246" s="56"/>
      <c r="K246" s="56"/>
      <c r="L246" s="56" t="s">
        <v>814</v>
      </c>
      <c r="M246" s="56">
        <v>1.3</v>
      </c>
      <c r="N246" s="56">
        <v>2</v>
      </c>
      <c r="O246" s="57">
        <v>2600</v>
      </c>
      <c r="P246" s="56">
        <v>1</v>
      </c>
      <c r="Q246" s="56">
        <v>2</v>
      </c>
      <c r="R246" s="56">
        <v>0.3</v>
      </c>
      <c r="S246" s="56">
        <v>0.6</v>
      </c>
      <c r="T246" s="56">
        <v>1</v>
      </c>
      <c r="U246" s="56">
        <v>2</v>
      </c>
      <c r="V246" s="56">
        <v>0.3</v>
      </c>
      <c r="W246" s="56">
        <v>0.6</v>
      </c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</row>
    <row r="247" spans="1:39" x14ac:dyDescent="0.4">
      <c r="A247" s="56"/>
      <c r="B247" s="59"/>
      <c r="C247" s="56"/>
      <c r="D247" s="56"/>
      <c r="E247" s="56"/>
      <c r="F247" s="57"/>
      <c r="G247" s="57"/>
      <c r="H247" s="57"/>
      <c r="I247" s="56"/>
      <c r="J247" s="56"/>
      <c r="K247" s="56" t="s">
        <v>479</v>
      </c>
      <c r="L247" s="57"/>
      <c r="M247" s="56"/>
      <c r="N247" s="56"/>
      <c r="O247" s="57">
        <v>10800</v>
      </c>
      <c r="P247" s="56"/>
      <c r="Q247" s="56">
        <v>8</v>
      </c>
      <c r="R247" s="56"/>
      <c r="S247" s="56">
        <v>2.8</v>
      </c>
      <c r="T247" s="56"/>
      <c r="U247" s="56">
        <v>8</v>
      </c>
      <c r="V247" s="56"/>
      <c r="W247" s="56">
        <v>2.8</v>
      </c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</row>
    <row r="248" spans="1:39" x14ac:dyDescent="0.4">
      <c r="A248" s="56"/>
      <c r="B248" s="59"/>
      <c r="C248" s="56"/>
      <c r="D248" s="56"/>
      <c r="E248" s="56"/>
      <c r="F248" s="57"/>
      <c r="G248" s="57"/>
      <c r="H248" s="57"/>
      <c r="I248" s="56"/>
      <c r="J248" s="56"/>
      <c r="K248" s="56" t="s">
        <v>480</v>
      </c>
      <c r="L248" s="56"/>
      <c r="M248" s="56"/>
      <c r="N248" s="56"/>
      <c r="O248" s="57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</row>
    <row r="249" spans="1:39" x14ac:dyDescent="0.4">
      <c r="A249" s="56"/>
      <c r="B249" s="59"/>
      <c r="C249" s="56"/>
      <c r="D249" s="56"/>
      <c r="E249" s="56"/>
      <c r="F249" s="57"/>
      <c r="G249" s="57"/>
      <c r="H249" s="57"/>
      <c r="I249" s="56"/>
      <c r="J249" s="56"/>
      <c r="K249" s="56"/>
      <c r="L249" s="56" t="s">
        <v>815</v>
      </c>
      <c r="M249" s="56"/>
      <c r="N249" s="56"/>
      <c r="O249" s="57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</row>
    <row r="250" spans="1:39" x14ac:dyDescent="0.4">
      <c r="A250" s="56"/>
      <c r="B250" s="59"/>
      <c r="C250" s="56"/>
      <c r="D250" s="56"/>
      <c r="E250" s="56"/>
      <c r="F250" s="57"/>
      <c r="G250" s="57"/>
      <c r="H250" s="57"/>
      <c r="I250" s="56"/>
      <c r="J250" s="56"/>
      <c r="K250" s="56"/>
      <c r="L250" s="56" t="s">
        <v>917</v>
      </c>
      <c r="M250" s="56">
        <v>241.5</v>
      </c>
      <c r="N250" s="56">
        <v>1</v>
      </c>
      <c r="O250" s="57">
        <v>241500</v>
      </c>
      <c r="P250" s="56">
        <v>210</v>
      </c>
      <c r="Q250" s="56">
        <v>210</v>
      </c>
      <c r="R250" s="56">
        <v>31.5</v>
      </c>
      <c r="S250" s="56">
        <v>31.5</v>
      </c>
      <c r="T250" s="56">
        <v>210</v>
      </c>
      <c r="U250" s="57">
        <v>210</v>
      </c>
      <c r="V250" s="56">
        <v>31.5</v>
      </c>
      <c r="W250" s="56">
        <v>31.5</v>
      </c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</row>
    <row r="251" spans="1:39" x14ac:dyDescent="0.4">
      <c r="A251" s="56"/>
      <c r="B251" s="59"/>
      <c r="C251" s="56"/>
      <c r="D251" s="56"/>
      <c r="E251" s="56"/>
      <c r="F251" s="57"/>
      <c r="G251" s="57"/>
      <c r="H251" s="57"/>
      <c r="I251" s="56"/>
      <c r="J251" s="56"/>
      <c r="K251" s="56" t="s">
        <v>481</v>
      </c>
      <c r="L251" s="56"/>
      <c r="M251" s="56"/>
      <c r="N251" s="56"/>
      <c r="O251" s="57">
        <v>241500</v>
      </c>
      <c r="P251" s="56"/>
      <c r="Q251" s="56">
        <v>210</v>
      </c>
      <c r="R251" s="57"/>
      <c r="S251" s="56">
        <v>31.5</v>
      </c>
      <c r="T251" s="56"/>
      <c r="U251" s="56">
        <v>210</v>
      </c>
      <c r="V251" s="56"/>
      <c r="W251" s="56">
        <v>31.5</v>
      </c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</row>
    <row r="252" spans="1:39" x14ac:dyDescent="0.4">
      <c r="A252" s="56"/>
      <c r="B252" s="59"/>
      <c r="C252" s="56"/>
      <c r="D252" s="56"/>
      <c r="E252" s="56"/>
      <c r="F252" s="57"/>
      <c r="G252" s="57"/>
      <c r="H252" s="57"/>
      <c r="I252" s="56"/>
      <c r="J252" s="56"/>
      <c r="K252" s="56" t="s">
        <v>482</v>
      </c>
      <c r="L252" s="56"/>
      <c r="M252" s="56"/>
      <c r="N252" s="56"/>
      <c r="O252" s="57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</row>
    <row r="253" spans="1:39" x14ac:dyDescent="0.4">
      <c r="A253" s="56"/>
      <c r="B253" s="59"/>
      <c r="C253" s="56"/>
      <c r="D253" s="56"/>
      <c r="E253" s="56"/>
      <c r="F253" s="57"/>
      <c r="G253" s="57"/>
      <c r="H253" s="57"/>
      <c r="I253" s="56"/>
      <c r="J253" s="56"/>
      <c r="K253" s="56" t="s">
        <v>483</v>
      </c>
      <c r="L253" s="56"/>
      <c r="M253" s="56"/>
      <c r="N253" s="56"/>
      <c r="O253" s="57">
        <v>0</v>
      </c>
      <c r="P253" s="56"/>
      <c r="Q253" s="56">
        <v>0</v>
      </c>
      <c r="R253" s="57"/>
      <c r="S253" s="56">
        <v>0</v>
      </c>
      <c r="T253" s="56"/>
      <c r="U253" s="56">
        <v>0</v>
      </c>
      <c r="V253" s="56"/>
      <c r="W253" s="56">
        <v>0</v>
      </c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</row>
    <row r="254" spans="1:39" x14ac:dyDescent="0.4">
      <c r="A254" s="56"/>
      <c r="B254" s="59"/>
      <c r="C254" s="56"/>
      <c r="D254" s="56"/>
      <c r="E254" s="56"/>
      <c r="F254" s="57"/>
      <c r="G254" s="57"/>
      <c r="H254" s="57"/>
      <c r="I254" s="56"/>
      <c r="J254" s="56"/>
      <c r="K254" s="56" t="s">
        <v>484</v>
      </c>
      <c r="L254" s="56"/>
      <c r="M254" s="56"/>
      <c r="N254" s="56"/>
      <c r="O254" s="57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</row>
    <row r="255" spans="1:39" x14ac:dyDescent="0.4">
      <c r="A255" s="56"/>
      <c r="B255" s="59"/>
      <c r="C255" s="56"/>
      <c r="D255" s="56"/>
      <c r="E255" s="56"/>
      <c r="F255" s="57"/>
      <c r="G255" s="57"/>
      <c r="H255" s="57"/>
      <c r="I255" s="56"/>
      <c r="J255" s="56"/>
      <c r="K255" s="56" t="s">
        <v>485</v>
      </c>
      <c r="L255" s="56"/>
      <c r="M255" s="56"/>
      <c r="N255" s="56"/>
      <c r="O255" s="57">
        <v>0</v>
      </c>
      <c r="P255" s="56"/>
      <c r="Q255" s="56">
        <v>0</v>
      </c>
      <c r="R255" s="57"/>
      <c r="S255" s="56">
        <v>0</v>
      </c>
      <c r="T255" s="56"/>
      <c r="U255" s="56">
        <v>0</v>
      </c>
      <c r="V255" s="56"/>
      <c r="W255" s="56">
        <v>0</v>
      </c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</row>
    <row r="256" spans="1:39" x14ac:dyDescent="0.4">
      <c r="A256" s="56"/>
      <c r="B256" s="59"/>
      <c r="C256" s="56"/>
      <c r="D256" s="56"/>
      <c r="E256" s="56"/>
      <c r="F256" s="57"/>
      <c r="G256" s="57"/>
      <c r="H256" s="57"/>
      <c r="I256" s="56"/>
      <c r="J256" s="56"/>
      <c r="K256" s="56" t="s">
        <v>486</v>
      </c>
      <c r="L256" s="56"/>
      <c r="M256" s="56"/>
      <c r="N256" s="56"/>
      <c r="O256" s="57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</row>
    <row r="257" spans="1:39" x14ac:dyDescent="0.4">
      <c r="A257" s="56"/>
      <c r="B257" s="59"/>
      <c r="C257" s="56"/>
      <c r="D257" s="56"/>
      <c r="E257" s="56"/>
      <c r="F257" s="57"/>
      <c r="G257" s="57"/>
      <c r="H257" s="57"/>
      <c r="I257" s="56"/>
      <c r="J257" s="56" t="s">
        <v>243</v>
      </c>
      <c r="K257" s="56"/>
      <c r="L257" s="56" t="s">
        <v>918</v>
      </c>
      <c r="M257" s="56">
        <v>25.3</v>
      </c>
      <c r="N257" s="56">
        <v>9</v>
      </c>
      <c r="O257" s="57">
        <v>227700</v>
      </c>
      <c r="P257" s="56">
        <v>0</v>
      </c>
      <c r="Q257" s="56">
        <v>0</v>
      </c>
      <c r="R257" s="56">
        <v>25.3</v>
      </c>
      <c r="S257" s="56">
        <v>227.7</v>
      </c>
      <c r="T257" s="56">
        <v>0</v>
      </c>
      <c r="U257" s="56">
        <v>0</v>
      </c>
      <c r="V257" s="56">
        <v>25.3</v>
      </c>
      <c r="W257" s="56">
        <v>227.7</v>
      </c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</row>
    <row r="258" spans="1:39" x14ac:dyDescent="0.4">
      <c r="A258" s="56"/>
      <c r="B258" s="59"/>
      <c r="C258" s="56"/>
      <c r="D258" s="56"/>
      <c r="E258" s="56"/>
      <c r="F258" s="57"/>
      <c r="G258" s="57"/>
      <c r="H258" s="57"/>
      <c r="I258" s="56"/>
      <c r="J258" s="56"/>
      <c r="K258" s="56"/>
      <c r="L258" s="56" t="s">
        <v>919</v>
      </c>
      <c r="M258" s="56">
        <v>42.4</v>
      </c>
      <c r="N258" s="56">
        <v>1</v>
      </c>
      <c r="O258" s="57">
        <v>42400</v>
      </c>
      <c r="P258" s="56">
        <v>0</v>
      </c>
      <c r="Q258" s="56">
        <v>0</v>
      </c>
      <c r="R258" s="56">
        <v>42.4</v>
      </c>
      <c r="S258" s="56">
        <v>42.4</v>
      </c>
      <c r="T258" s="56">
        <v>0</v>
      </c>
      <c r="U258" s="57">
        <v>0</v>
      </c>
      <c r="V258" s="56">
        <v>42.4</v>
      </c>
      <c r="W258" s="56">
        <v>42.4</v>
      </c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</row>
    <row r="259" spans="1:39" x14ac:dyDescent="0.4">
      <c r="A259" s="56"/>
      <c r="B259" s="59"/>
      <c r="C259" s="56"/>
      <c r="D259" s="56"/>
      <c r="E259" s="56"/>
      <c r="F259" s="57"/>
      <c r="G259" s="57"/>
      <c r="H259" s="57"/>
      <c r="I259" s="56"/>
      <c r="J259" s="56"/>
      <c r="K259" s="56" t="s">
        <v>487</v>
      </c>
      <c r="L259" s="56"/>
      <c r="M259" s="56"/>
      <c r="N259" s="56"/>
      <c r="O259" s="57">
        <v>270100</v>
      </c>
      <c r="P259" s="56"/>
      <c r="Q259" s="56">
        <v>0</v>
      </c>
      <c r="R259" s="57"/>
      <c r="S259" s="56">
        <v>270.10000000000002</v>
      </c>
      <c r="T259" s="56"/>
      <c r="U259" s="56">
        <v>0</v>
      </c>
      <c r="V259" s="56"/>
      <c r="W259" s="56">
        <v>270.10000000000002</v>
      </c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</row>
    <row r="260" spans="1:39" x14ac:dyDescent="0.4">
      <c r="A260" s="56"/>
      <c r="B260" s="59"/>
      <c r="C260" s="56"/>
      <c r="D260" s="56"/>
      <c r="E260" s="56"/>
      <c r="F260" s="57"/>
      <c r="G260" s="57"/>
      <c r="H260" s="57"/>
      <c r="I260" s="56"/>
      <c r="J260" s="56" t="s">
        <v>231</v>
      </c>
      <c r="K260" s="56"/>
      <c r="L260" s="56"/>
      <c r="M260" s="56"/>
      <c r="N260" s="56"/>
      <c r="O260" s="57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</row>
    <row r="261" spans="1:39" x14ac:dyDescent="0.4">
      <c r="A261" s="56"/>
      <c r="B261" s="59"/>
      <c r="C261" s="56"/>
      <c r="D261" s="56"/>
      <c r="E261" s="56"/>
      <c r="F261" s="57"/>
      <c r="G261" s="57"/>
      <c r="H261" s="57"/>
      <c r="I261" s="56"/>
      <c r="J261" s="56"/>
      <c r="K261" s="56" t="s">
        <v>488</v>
      </c>
      <c r="L261" s="56"/>
      <c r="M261" s="56"/>
      <c r="N261" s="56"/>
      <c r="O261" s="57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</row>
    <row r="262" spans="1:39" x14ac:dyDescent="0.4">
      <c r="A262" s="56"/>
      <c r="B262" s="59"/>
      <c r="C262" s="56"/>
      <c r="D262" s="56"/>
      <c r="E262" s="56"/>
      <c r="F262" s="57"/>
      <c r="G262" s="57"/>
      <c r="H262" s="57"/>
      <c r="I262" s="56"/>
      <c r="J262" s="56"/>
      <c r="K262" s="56"/>
      <c r="L262" s="56" t="s">
        <v>816</v>
      </c>
      <c r="M262" s="56"/>
      <c r="N262" s="56"/>
      <c r="O262" s="57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</row>
    <row r="263" spans="1:39" x14ac:dyDescent="0.4">
      <c r="A263" s="56"/>
      <c r="B263" s="59"/>
      <c r="C263" s="56"/>
      <c r="D263" s="56"/>
      <c r="E263" s="56"/>
      <c r="F263" s="57"/>
      <c r="G263" s="57"/>
      <c r="H263" s="57"/>
      <c r="I263" s="56"/>
      <c r="J263" s="56"/>
      <c r="K263" s="56"/>
      <c r="L263" s="56" t="s">
        <v>817</v>
      </c>
      <c r="M263" s="56">
        <v>11.3</v>
      </c>
      <c r="N263" s="56">
        <v>1</v>
      </c>
      <c r="O263" s="57">
        <v>11300</v>
      </c>
      <c r="P263" s="56">
        <v>0</v>
      </c>
      <c r="Q263" s="56">
        <v>0</v>
      </c>
      <c r="R263" s="56">
        <v>11.3</v>
      </c>
      <c r="S263" s="56">
        <v>11.3</v>
      </c>
      <c r="T263" s="56">
        <v>0</v>
      </c>
      <c r="U263" s="56">
        <v>0</v>
      </c>
      <c r="V263" s="56">
        <v>11.3</v>
      </c>
      <c r="W263" s="56">
        <v>11.3</v>
      </c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</row>
    <row r="264" spans="1:39" x14ac:dyDescent="0.4">
      <c r="A264" s="56"/>
      <c r="B264" s="59"/>
      <c r="C264" s="56"/>
      <c r="D264" s="56"/>
      <c r="E264" s="56"/>
      <c r="F264" s="57"/>
      <c r="G264" s="57"/>
      <c r="H264" s="57"/>
      <c r="I264" s="56"/>
      <c r="J264" s="56"/>
      <c r="K264" s="56"/>
      <c r="L264" s="56" t="s">
        <v>920</v>
      </c>
      <c r="M264" s="56"/>
      <c r="N264" s="56"/>
      <c r="O264" s="57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</row>
    <row r="265" spans="1:39" x14ac:dyDescent="0.4">
      <c r="A265" s="56"/>
      <c r="B265" s="59"/>
      <c r="C265" s="56"/>
      <c r="D265" s="56"/>
      <c r="E265" s="56"/>
      <c r="F265" s="57"/>
      <c r="G265" s="57"/>
      <c r="H265" s="57"/>
      <c r="I265" s="56"/>
      <c r="J265" s="56"/>
      <c r="K265" s="56"/>
      <c r="L265" s="56" t="s">
        <v>921</v>
      </c>
      <c r="M265" s="56">
        <v>588</v>
      </c>
      <c r="N265" s="56">
        <v>1</v>
      </c>
      <c r="O265" s="57">
        <v>588000</v>
      </c>
      <c r="P265" s="56">
        <v>588</v>
      </c>
      <c r="Q265" s="56">
        <v>588</v>
      </c>
      <c r="R265" s="56">
        <v>0</v>
      </c>
      <c r="S265" s="56">
        <v>0</v>
      </c>
      <c r="T265" s="56">
        <v>588</v>
      </c>
      <c r="U265" s="57">
        <v>588</v>
      </c>
      <c r="V265" s="56">
        <v>0</v>
      </c>
      <c r="W265" s="56">
        <v>0</v>
      </c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</row>
    <row r="266" spans="1:39" x14ac:dyDescent="0.4">
      <c r="A266" s="56"/>
      <c r="B266" s="59"/>
      <c r="C266" s="56"/>
      <c r="D266" s="56"/>
      <c r="E266" s="56"/>
      <c r="F266" s="57"/>
      <c r="G266" s="57"/>
      <c r="H266" s="57"/>
      <c r="I266" s="56"/>
      <c r="J266" s="56"/>
      <c r="K266" s="56"/>
      <c r="L266" s="56" t="s">
        <v>922</v>
      </c>
      <c r="M266" s="56">
        <v>173</v>
      </c>
      <c r="N266" s="56">
        <v>1</v>
      </c>
      <c r="O266" s="57">
        <v>173000</v>
      </c>
      <c r="P266" s="56">
        <v>173</v>
      </c>
      <c r="Q266" s="56">
        <v>173</v>
      </c>
      <c r="R266" s="56">
        <v>0</v>
      </c>
      <c r="S266" s="56">
        <v>0</v>
      </c>
      <c r="T266" s="56">
        <v>173</v>
      </c>
      <c r="U266" s="56">
        <v>173</v>
      </c>
      <c r="V266" s="56">
        <v>0</v>
      </c>
      <c r="W266" s="56">
        <v>0</v>
      </c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</row>
    <row r="267" spans="1:39" x14ac:dyDescent="0.4">
      <c r="A267" s="56"/>
      <c r="B267" s="59"/>
      <c r="C267" s="56"/>
      <c r="D267" s="56"/>
      <c r="E267" s="56"/>
      <c r="F267" s="57"/>
      <c r="G267" s="57"/>
      <c r="H267" s="57"/>
      <c r="I267" s="56"/>
      <c r="J267" s="56"/>
      <c r="K267" s="56"/>
      <c r="L267" s="56" t="s">
        <v>923</v>
      </c>
      <c r="M267" s="56">
        <v>99</v>
      </c>
      <c r="N267" s="56">
        <v>1</v>
      </c>
      <c r="O267" s="57">
        <v>99000</v>
      </c>
      <c r="P267" s="56">
        <v>99</v>
      </c>
      <c r="Q267" s="56">
        <v>99</v>
      </c>
      <c r="R267" s="56">
        <v>0</v>
      </c>
      <c r="S267" s="56">
        <v>0</v>
      </c>
      <c r="T267" s="56">
        <v>99</v>
      </c>
      <c r="U267" s="56">
        <v>99</v>
      </c>
      <c r="V267" s="56">
        <v>0</v>
      </c>
      <c r="W267" s="56">
        <v>0</v>
      </c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</row>
    <row r="268" spans="1:39" x14ac:dyDescent="0.4">
      <c r="A268" s="56"/>
      <c r="B268" s="59"/>
      <c r="C268" s="56"/>
      <c r="D268" s="56"/>
      <c r="E268" s="56"/>
      <c r="F268" s="57"/>
      <c r="G268" s="57"/>
      <c r="H268" s="57"/>
      <c r="I268" s="56"/>
      <c r="J268" s="56"/>
      <c r="K268" s="56"/>
      <c r="L268" s="56" t="s">
        <v>924</v>
      </c>
      <c r="M268" s="56">
        <v>49.5</v>
      </c>
      <c r="N268" s="56">
        <v>2</v>
      </c>
      <c r="O268" s="57">
        <v>99000</v>
      </c>
      <c r="P268" s="56">
        <v>49.5</v>
      </c>
      <c r="Q268" s="56">
        <v>99</v>
      </c>
      <c r="R268" s="56">
        <v>0</v>
      </c>
      <c r="S268" s="56">
        <v>0</v>
      </c>
      <c r="T268" s="56">
        <v>49.5</v>
      </c>
      <c r="U268" s="57">
        <v>99</v>
      </c>
      <c r="V268" s="56">
        <v>0</v>
      </c>
      <c r="W268" s="56">
        <v>0</v>
      </c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</row>
    <row r="269" spans="1:39" x14ac:dyDescent="0.4">
      <c r="A269" s="56"/>
      <c r="B269" s="59"/>
      <c r="C269" s="56"/>
      <c r="D269" s="56"/>
      <c r="E269" s="56"/>
      <c r="F269" s="57"/>
      <c r="G269" s="57"/>
      <c r="H269" s="57"/>
      <c r="I269" s="56"/>
      <c r="J269" s="56"/>
      <c r="K269" s="56"/>
      <c r="L269" s="56" t="s">
        <v>925</v>
      </c>
      <c r="M269" s="56">
        <v>33.5</v>
      </c>
      <c r="N269" s="56">
        <v>1</v>
      </c>
      <c r="O269" s="57">
        <v>33500</v>
      </c>
      <c r="P269" s="56">
        <v>33.5</v>
      </c>
      <c r="Q269" s="56">
        <v>33.5</v>
      </c>
      <c r="R269" s="56">
        <v>0</v>
      </c>
      <c r="S269" s="56">
        <v>0</v>
      </c>
      <c r="T269" s="56">
        <v>33.5</v>
      </c>
      <c r="U269" s="57">
        <v>33.5</v>
      </c>
      <c r="V269" s="56">
        <v>0</v>
      </c>
      <c r="W269" s="56">
        <v>0</v>
      </c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</row>
    <row r="270" spans="1:39" x14ac:dyDescent="0.4">
      <c r="A270" s="56"/>
      <c r="B270" s="59"/>
      <c r="C270" s="56"/>
      <c r="D270" s="56"/>
      <c r="E270" s="56"/>
      <c r="F270" s="57"/>
      <c r="G270" s="57"/>
      <c r="H270" s="57"/>
      <c r="I270" s="56"/>
      <c r="J270" s="56"/>
      <c r="K270" s="56"/>
      <c r="L270" s="56" t="s">
        <v>926</v>
      </c>
      <c r="M270" s="56">
        <v>89.5</v>
      </c>
      <c r="N270" s="56">
        <v>1</v>
      </c>
      <c r="O270" s="57">
        <v>89500</v>
      </c>
      <c r="P270" s="56">
        <v>89.5</v>
      </c>
      <c r="Q270" s="56">
        <v>89.5</v>
      </c>
      <c r="R270" s="56">
        <v>0</v>
      </c>
      <c r="S270" s="56">
        <v>0</v>
      </c>
      <c r="T270" s="56">
        <v>89.5</v>
      </c>
      <c r="U270" s="56">
        <v>89.5</v>
      </c>
      <c r="V270" s="56">
        <v>0</v>
      </c>
      <c r="W270" s="56">
        <v>0</v>
      </c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</row>
    <row r="271" spans="1:39" x14ac:dyDescent="0.4">
      <c r="A271" s="56"/>
      <c r="B271" s="59"/>
      <c r="C271" s="56"/>
      <c r="D271" s="56"/>
      <c r="E271" s="56"/>
      <c r="F271" s="57"/>
      <c r="G271" s="57"/>
      <c r="H271" s="57"/>
      <c r="I271" s="56"/>
      <c r="J271" s="56"/>
      <c r="K271" s="56"/>
      <c r="L271" s="56" t="s">
        <v>927</v>
      </c>
      <c r="M271" s="56"/>
      <c r="N271" s="56"/>
      <c r="O271" s="57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</row>
    <row r="272" spans="1:39" x14ac:dyDescent="0.4">
      <c r="A272" s="56"/>
      <c r="B272" s="59"/>
      <c r="C272" s="56"/>
      <c r="D272" s="56"/>
      <c r="E272" s="56"/>
      <c r="F272" s="57"/>
      <c r="G272" s="57"/>
      <c r="H272" s="57"/>
      <c r="I272" s="56"/>
      <c r="J272" s="56"/>
      <c r="K272" s="56"/>
      <c r="L272" s="56" t="s">
        <v>928</v>
      </c>
      <c r="M272" s="56"/>
      <c r="N272" s="56"/>
      <c r="O272" s="57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</row>
    <row r="273" spans="1:39" x14ac:dyDescent="0.4">
      <c r="A273" s="56"/>
      <c r="B273" s="59"/>
      <c r="C273" s="56"/>
      <c r="D273" s="56"/>
      <c r="E273" s="56"/>
      <c r="F273" s="57"/>
      <c r="G273" s="57"/>
      <c r="H273" s="57"/>
      <c r="I273" s="56"/>
      <c r="J273" s="56"/>
      <c r="K273" s="56"/>
      <c r="L273" s="56" t="s">
        <v>929</v>
      </c>
      <c r="M273" s="56">
        <v>76</v>
      </c>
      <c r="N273" s="56">
        <v>1</v>
      </c>
      <c r="O273" s="57">
        <v>76000</v>
      </c>
      <c r="P273" s="56">
        <v>76</v>
      </c>
      <c r="Q273" s="56">
        <v>76</v>
      </c>
      <c r="R273" s="56">
        <v>0</v>
      </c>
      <c r="S273" s="56">
        <v>0</v>
      </c>
      <c r="T273" s="56">
        <v>76</v>
      </c>
      <c r="U273" s="56">
        <v>76</v>
      </c>
      <c r="V273" s="56">
        <v>0</v>
      </c>
      <c r="W273" s="56">
        <v>0</v>
      </c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</row>
    <row r="274" spans="1:39" x14ac:dyDescent="0.4">
      <c r="A274" s="56"/>
      <c r="B274" s="59"/>
      <c r="C274" s="56"/>
      <c r="D274" s="56"/>
      <c r="E274" s="56"/>
      <c r="F274" s="57"/>
      <c r="G274" s="57"/>
      <c r="H274" s="57"/>
      <c r="I274" s="56"/>
      <c r="J274" s="56"/>
      <c r="K274" s="56"/>
      <c r="L274" s="56" t="s">
        <v>930</v>
      </c>
      <c r="M274" s="56">
        <v>3</v>
      </c>
      <c r="N274" s="56">
        <v>1</v>
      </c>
      <c r="O274" s="57">
        <v>3000</v>
      </c>
      <c r="P274" s="56">
        <v>3</v>
      </c>
      <c r="Q274" s="56">
        <v>3</v>
      </c>
      <c r="R274" s="56">
        <v>0</v>
      </c>
      <c r="S274" s="56">
        <v>0</v>
      </c>
      <c r="T274" s="56">
        <v>3</v>
      </c>
      <c r="U274" s="57">
        <v>3</v>
      </c>
      <c r="V274" s="56">
        <v>0</v>
      </c>
      <c r="W274" s="56">
        <v>0</v>
      </c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</row>
    <row r="275" spans="1:39" x14ac:dyDescent="0.4">
      <c r="A275" s="56"/>
      <c r="B275" s="59"/>
      <c r="C275" s="56"/>
      <c r="D275" s="56"/>
      <c r="E275" s="56"/>
      <c r="F275" s="57"/>
      <c r="G275" s="57"/>
      <c r="H275" s="57"/>
      <c r="I275" s="56"/>
      <c r="J275" s="56"/>
      <c r="K275" s="56"/>
      <c r="L275" s="56" t="s">
        <v>931</v>
      </c>
      <c r="M275" s="56">
        <v>32.5</v>
      </c>
      <c r="N275" s="56">
        <v>1</v>
      </c>
      <c r="O275" s="57">
        <v>32500</v>
      </c>
      <c r="P275" s="56">
        <v>32.5</v>
      </c>
      <c r="Q275" s="56">
        <v>32.5</v>
      </c>
      <c r="R275" s="56">
        <v>0</v>
      </c>
      <c r="S275" s="56">
        <v>0</v>
      </c>
      <c r="T275" s="56">
        <v>32.5</v>
      </c>
      <c r="U275" s="57">
        <v>32.5</v>
      </c>
      <c r="V275" s="56">
        <v>0</v>
      </c>
      <c r="W275" s="56">
        <v>0</v>
      </c>
      <c r="X275" s="58"/>
      <c r="Y275" s="56"/>
      <c r="Z275" s="56"/>
      <c r="AA275" s="56"/>
      <c r="AB275" s="58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</row>
    <row r="276" spans="1:39" x14ac:dyDescent="0.4">
      <c r="A276" s="56"/>
      <c r="B276" s="59"/>
      <c r="C276" s="56"/>
      <c r="D276" s="56"/>
      <c r="E276" s="56"/>
      <c r="F276" s="57"/>
      <c r="G276" s="57"/>
      <c r="H276" s="57"/>
      <c r="I276" s="56"/>
      <c r="J276" s="56"/>
      <c r="K276" s="56"/>
      <c r="L276" s="56" t="s">
        <v>489</v>
      </c>
      <c r="M276" s="56"/>
      <c r="N276" s="56"/>
      <c r="O276" s="57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</row>
    <row r="277" spans="1:39" x14ac:dyDescent="0.4">
      <c r="A277" s="56"/>
      <c r="B277" s="59"/>
      <c r="C277" s="56"/>
      <c r="D277" s="56"/>
      <c r="E277" s="56"/>
      <c r="F277" s="57"/>
      <c r="G277" s="57"/>
      <c r="H277" s="57"/>
      <c r="I277" s="56"/>
      <c r="J277" s="56"/>
      <c r="K277" s="56"/>
      <c r="L277" s="56" t="s">
        <v>932</v>
      </c>
      <c r="M277" s="56">
        <v>425</v>
      </c>
      <c r="N277" s="56">
        <v>1</v>
      </c>
      <c r="O277" s="57">
        <v>425000</v>
      </c>
      <c r="P277" s="56">
        <v>423</v>
      </c>
      <c r="Q277" s="56">
        <v>423</v>
      </c>
      <c r="R277" s="56">
        <v>2</v>
      </c>
      <c r="S277" s="56">
        <v>2</v>
      </c>
      <c r="T277" s="56">
        <v>423</v>
      </c>
      <c r="U277" s="56">
        <v>423</v>
      </c>
      <c r="V277" s="56">
        <v>2</v>
      </c>
      <c r="W277" s="56">
        <v>2</v>
      </c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</row>
    <row r="278" spans="1:39" x14ac:dyDescent="0.4">
      <c r="A278" s="56"/>
      <c r="B278" s="59"/>
      <c r="C278" s="56"/>
      <c r="D278" s="56"/>
      <c r="E278" s="56"/>
      <c r="F278" s="57"/>
      <c r="G278" s="57"/>
      <c r="H278" s="57"/>
      <c r="I278" s="56"/>
      <c r="J278" s="56"/>
      <c r="K278" s="56"/>
      <c r="L278" s="56" t="s">
        <v>933</v>
      </c>
      <c r="M278" s="56">
        <v>95.5</v>
      </c>
      <c r="N278" s="56">
        <v>1</v>
      </c>
      <c r="O278" s="57">
        <v>95500</v>
      </c>
      <c r="P278" s="56">
        <v>92</v>
      </c>
      <c r="Q278" s="56">
        <v>92</v>
      </c>
      <c r="R278" s="56">
        <v>3.5</v>
      </c>
      <c r="S278" s="56">
        <v>3.5</v>
      </c>
      <c r="T278" s="56">
        <v>92</v>
      </c>
      <c r="U278" s="57">
        <v>92</v>
      </c>
      <c r="V278" s="56">
        <v>3.5</v>
      </c>
      <c r="W278" s="56">
        <v>3.5</v>
      </c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</row>
    <row r="279" spans="1:39" x14ac:dyDescent="0.4">
      <c r="A279" s="56"/>
      <c r="B279" s="59"/>
      <c r="C279" s="56"/>
      <c r="D279" s="56"/>
      <c r="E279" s="56"/>
      <c r="F279" s="57"/>
      <c r="G279" s="57"/>
      <c r="H279" s="57"/>
      <c r="I279" s="56"/>
      <c r="J279" s="56"/>
      <c r="K279" s="56"/>
      <c r="L279" s="56" t="s">
        <v>490</v>
      </c>
      <c r="M279" s="56"/>
      <c r="N279" s="56"/>
      <c r="O279" s="57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</row>
    <row r="280" spans="1:39" x14ac:dyDescent="0.4">
      <c r="A280" s="56"/>
      <c r="B280" s="59"/>
      <c r="C280" s="56"/>
      <c r="D280" s="56"/>
      <c r="E280" s="56"/>
      <c r="F280" s="57"/>
      <c r="G280" s="57"/>
      <c r="H280" s="57"/>
      <c r="I280" s="56"/>
      <c r="J280" s="56"/>
      <c r="K280" s="56"/>
      <c r="L280" s="56" t="s">
        <v>934</v>
      </c>
      <c r="M280" s="56">
        <v>51.5</v>
      </c>
      <c r="N280" s="56">
        <v>1</v>
      </c>
      <c r="O280" s="57">
        <v>51500</v>
      </c>
      <c r="P280" s="56">
        <v>40</v>
      </c>
      <c r="Q280" s="56">
        <v>40</v>
      </c>
      <c r="R280" s="56">
        <v>11.5</v>
      </c>
      <c r="S280" s="56">
        <v>11.5</v>
      </c>
      <c r="T280" s="56">
        <v>40</v>
      </c>
      <c r="U280" s="57">
        <v>40</v>
      </c>
      <c r="V280" s="56">
        <v>11.5</v>
      </c>
      <c r="W280" s="56">
        <v>11.5</v>
      </c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</row>
    <row r="281" spans="1:39" x14ac:dyDescent="0.4">
      <c r="A281" s="56"/>
      <c r="B281" s="59"/>
      <c r="C281" s="56"/>
      <c r="D281" s="56"/>
      <c r="E281" s="56"/>
      <c r="F281" s="57"/>
      <c r="G281" s="57"/>
      <c r="H281" s="57"/>
      <c r="I281" s="56"/>
      <c r="J281" s="56"/>
      <c r="K281" s="56"/>
      <c r="L281" s="56" t="s">
        <v>491</v>
      </c>
      <c r="M281" s="56"/>
      <c r="N281" s="56"/>
      <c r="O281" s="57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</row>
    <row r="282" spans="1:39" x14ac:dyDescent="0.4">
      <c r="A282" s="56"/>
      <c r="B282" s="59"/>
      <c r="C282" s="56"/>
      <c r="D282" s="56"/>
      <c r="E282" s="56"/>
      <c r="F282" s="57"/>
      <c r="G282" s="57"/>
      <c r="H282" s="57"/>
      <c r="I282" s="56"/>
      <c r="J282" s="56"/>
      <c r="K282" s="56"/>
      <c r="L282" s="56" t="s">
        <v>935</v>
      </c>
      <c r="M282" s="56">
        <v>42.4</v>
      </c>
      <c r="N282" s="56">
        <v>1</v>
      </c>
      <c r="O282" s="57">
        <v>42400</v>
      </c>
      <c r="P282" s="56">
        <v>8.4</v>
      </c>
      <c r="Q282" s="56">
        <v>8.4</v>
      </c>
      <c r="R282" s="56">
        <v>34</v>
      </c>
      <c r="S282" s="56">
        <v>34</v>
      </c>
      <c r="T282" s="56">
        <v>8.4</v>
      </c>
      <c r="U282" s="57">
        <v>8.4</v>
      </c>
      <c r="V282" s="56">
        <v>34</v>
      </c>
      <c r="W282" s="56">
        <v>34</v>
      </c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</row>
    <row r="283" spans="1:39" x14ac:dyDescent="0.4">
      <c r="A283" s="56"/>
      <c r="B283" s="59"/>
      <c r="C283" s="56"/>
      <c r="D283" s="56"/>
      <c r="E283" s="56"/>
      <c r="F283" s="57"/>
      <c r="G283" s="57"/>
      <c r="H283" s="57"/>
      <c r="I283" s="56"/>
      <c r="J283" s="56"/>
      <c r="K283" s="56"/>
      <c r="L283" s="56" t="s">
        <v>492</v>
      </c>
      <c r="M283" s="56">
        <v>1.8</v>
      </c>
      <c r="N283" s="56">
        <v>1</v>
      </c>
      <c r="O283" s="57">
        <v>1800</v>
      </c>
      <c r="P283" s="56">
        <v>0</v>
      </c>
      <c r="Q283" s="56">
        <v>0</v>
      </c>
      <c r="R283" s="56">
        <v>1.8</v>
      </c>
      <c r="S283" s="56">
        <v>1.8</v>
      </c>
      <c r="T283" s="56">
        <v>0</v>
      </c>
      <c r="U283" s="56">
        <v>0</v>
      </c>
      <c r="V283" s="56">
        <v>1.8</v>
      </c>
      <c r="W283" s="56">
        <v>1.8</v>
      </c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</row>
    <row r="284" spans="1:39" x14ac:dyDescent="0.4">
      <c r="A284" s="56"/>
      <c r="B284" s="59"/>
      <c r="C284" s="56"/>
      <c r="D284" s="56"/>
      <c r="E284" s="56"/>
      <c r="F284" s="57"/>
      <c r="G284" s="57"/>
      <c r="H284" s="57"/>
      <c r="I284" s="56"/>
      <c r="J284" s="56"/>
      <c r="K284" s="56"/>
      <c r="L284" s="56" t="s">
        <v>493</v>
      </c>
      <c r="M284" s="56">
        <v>23.9</v>
      </c>
      <c r="N284" s="56">
        <v>1</v>
      </c>
      <c r="O284" s="57">
        <v>23900</v>
      </c>
      <c r="P284" s="56">
        <v>0</v>
      </c>
      <c r="Q284" s="56">
        <v>0</v>
      </c>
      <c r="R284" s="56">
        <v>23.9</v>
      </c>
      <c r="S284" s="56">
        <v>23.9</v>
      </c>
      <c r="T284" s="56">
        <v>0</v>
      </c>
      <c r="U284" s="57">
        <v>0</v>
      </c>
      <c r="V284" s="56">
        <v>23.9</v>
      </c>
      <c r="W284" s="56">
        <v>23.9</v>
      </c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</row>
    <row r="285" spans="1:39" x14ac:dyDescent="0.4">
      <c r="A285" s="56"/>
      <c r="B285" s="59"/>
      <c r="C285" s="56"/>
      <c r="D285" s="56"/>
      <c r="E285" s="56"/>
      <c r="F285" s="57"/>
      <c r="G285" s="57"/>
      <c r="H285" s="57"/>
      <c r="I285" s="56"/>
      <c r="J285" s="56"/>
      <c r="K285" s="56"/>
      <c r="L285" s="56" t="s">
        <v>844</v>
      </c>
      <c r="M285" s="56">
        <v>7.7</v>
      </c>
      <c r="N285" s="56">
        <v>1</v>
      </c>
      <c r="O285" s="57">
        <v>7700</v>
      </c>
      <c r="P285" s="56">
        <v>0</v>
      </c>
      <c r="Q285" s="56">
        <v>0</v>
      </c>
      <c r="R285" s="56">
        <v>7.7</v>
      </c>
      <c r="S285" s="56">
        <v>7.7</v>
      </c>
      <c r="T285" s="56">
        <v>0</v>
      </c>
      <c r="U285" s="57">
        <v>0</v>
      </c>
      <c r="V285" s="56">
        <v>7.7</v>
      </c>
      <c r="W285" s="56">
        <v>7.7</v>
      </c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</row>
    <row r="286" spans="1:39" x14ac:dyDescent="0.4">
      <c r="A286" s="56"/>
      <c r="B286" s="59"/>
      <c r="C286" s="56"/>
      <c r="D286" s="56"/>
      <c r="E286" s="56"/>
      <c r="F286" s="57"/>
      <c r="G286" s="57"/>
      <c r="H286" s="57"/>
      <c r="I286" s="56"/>
      <c r="J286" s="56"/>
      <c r="K286" s="56"/>
      <c r="L286" s="56" t="s">
        <v>494</v>
      </c>
      <c r="M286" s="56"/>
      <c r="N286" s="56"/>
      <c r="O286" s="57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</row>
    <row r="287" spans="1:39" x14ac:dyDescent="0.4">
      <c r="A287" s="56"/>
      <c r="B287" s="59"/>
      <c r="C287" s="56"/>
      <c r="D287" s="56"/>
      <c r="E287" s="56"/>
      <c r="F287" s="57"/>
      <c r="G287" s="57"/>
      <c r="H287" s="57"/>
      <c r="I287" s="56"/>
      <c r="J287" s="56"/>
      <c r="K287" s="56"/>
      <c r="L287" s="56" t="s">
        <v>495</v>
      </c>
      <c r="M287" s="56">
        <v>23.5</v>
      </c>
      <c r="N287" s="56">
        <v>1</v>
      </c>
      <c r="O287" s="57">
        <v>23500</v>
      </c>
      <c r="P287" s="56">
        <v>19</v>
      </c>
      <c r="Q287" s="56">
        <v>19</v>
      </c>
      <c r="R287" s="56">
        <v>4.5</v>
      </c>
      <c r="S287" s="56">
        <v>4.5</v>
      </c>
      <c r="T287" s="56">
        <v>19</v>
      </c>
      <c r="U287" s="57">
        <v>19</v>
      </c>
      <c r="V287" s="56">
        <v>4.5</v>
      </c>
      <c r="W287" s="56">
        <v>4.5</v>
      </c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</row>
    <row r="288" spans="1:39" x14ac:dyDescent="0.4">
      <c r="A288" s="56"/>
      <c r="B288" s="59"/>
      <c r="C288" s="56"/>
      <c r="D288" s="56"/>
      <c r="E288" s="56"/>
      <c r="F288" s="57"/>
      <c r="G288" s="57"/>
      <c r="H288" s="57"/>
      <c r="I288" s="56"/>
      <c r="J288" s="56"/>
      <c r="K288" s="56"/>
      <c r="L288" s="56" t="s">
        <v>496</v>
      </c>
      <c r="M288" s="56">
        <v>11.4</v>
      </c>
      <c r="N288" s="56">
        <v>1</v>
      </c>
      <c r="O288" s="57">
        <v>11400</v>
      </c>
      <c r="P288" s="56">
        <v>8</v>
      </c>
      <c r="Q288" s="56">
        <v>8</v>
      </c>
      <c r="R288" s="56">
        <v>3.4</v>
      </c>
      <c r="S288" s="56">
        <v>3.4</v>
      </c>
      <c r="T288" s="56">
        <v>8</v>
      </c>
      <c r="U288" s="57">
        <v>8</v>
      </c>
      <c r="V288" s="56">
        <v>3.4</v>
      </c>
      <c r="W288" s="56">
        <v>3.4</v>
      </c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</row>
    <row r="289" spans="1:39" x14ac:dyDescent="0.4">
      <c r="A289" s="56"/>
      <c r="B289" s="59"/>
      <c r="C289" s="56"/>
      <c r="D289" s="56"/>
      <c r="E289" s="56"/>
      <c r="F289" s="57"/>
      <c r="G289" s="57"/>
      <c r="H289" s="57"/>
      <c r="I289" s="56"/>
      <c r="J289" s="56"/>
      <c r="K289" s="56"/>
      <c r="L289" s="56" t="s">
        <v>497</v>
      </c>
      <c r="M289" s="56">
        <v>5.4</v>
      </c>
      <c r="N289" s="56">
        <v>1</v>
      </c>
      <c r="O289" s="57">
        <v>5400</v>
      </c>
      <c r="P289" s="56">
        <v>5</v>
      </c>
      <c r="Q289" s="56">
        <v>5</v>
      </c>
      <c r="R289" s="56">
        <v>0.4</v>
      </c>
      <c r="S289" s="56">
        <v>0.4</v>
      </c>
      <c r="T289" s="56">
        <v>5</v>
      </c>
      <c r="U289" s="57">
        <v>5</v>
      </c>
      <c r="V289" s="56">
        <v>0.4</v>
      </c>
      <c r="W289" s="56">
        <v>0.4</v>
      </c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</row>
    <row r="290" spans="1:39" x14ac:dyDescent="0.4">
      <c r="A290" s="56"/>
      <c r="B290" s="59"/>
      <c r="C290" s="56"/>
      <c r="D290" s="56"/>
      <c r="E290" s="56"/>
      <c r="F290" s="57"/>
      <c r="G290" s="57"/>
      <c r="H290" s="57"/>
      <c r="I290" s="56"/>
      <c r="J290" s="56"/>
      <c r="K290" s="56"/>
      <c r="L290" s="56" t="s">
        <v>498</v>
      </c>
      <c r="M290" s="56"/>
      <c r="N290" s="56"/>
      <c r="O290" s="57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</row>
    <row r="291" spans="1:39" x14ac:dyDescent="0.4">
      <c r="A291" s="56"/>
      <c r="B291" s="59"/>
      <c r="C291" s="56"/>
      <c r="D291" s="56"/>
      <c r="E291" s="56"/>
      <c r="F291" s="57"/>
      <c r="G291" s="57"/>
      <c r="H291" s="57"/>
      <c r="I291" s="56"/>
      <c r="J291" s="56"/>
      <c r="K291" s="56"/>
      <c r="L291" s="56" t="s">
        <v>818</v>
      </c>
      <c r="M291" s="56">
        <v>1788.9</v>
      </c>
      <c r="N291" s="56">
        <v>0.44</v>
      </c>
      <c r="O291" s="57">
        <v>787116</v>
      </c>
      <c r="P291" s="56">
        <v>0</v>
      </c>
      <c r="Q291" s="56">
        <v>0</v>
      </c>
      <c r="R291" s="56">
        <v>1788.9</v>
      </c>
      <c r="S291" s="56">
        <v>787.11599999999999</v>
      </c>
      <c r="T291" s="56">
        <v>0</v>
      </c>
      <c r="U291" s="56">
        <v>0</v>
      </c>
      <c r="V291" s="56">
        <v>1788.9</v>
      </c>
      <c r="W291" s="56">
        <v>787.11599999999999</v>
      </c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</row>
    <row r="292" spans="1:39" x14ac:dyDescent="0.4">
      <c r="A292" s="56"/>
      <c r="B292" s="59"/>
      <c r="C292" s="56"/>
      <c r="D292" s="56"/>
      <c r="E292" s="56"/>
      <c r="F292" s="57"/>
      <c r="G292" s="57"/>
      <c r="H292" s="57"/>
      <c r="I292" s="56"/>
      <c r="J292" s="56"/>
      <c r="K292" s="56" t="s">
        <v>499</v>
      </c>
      <c r="L292" s="56"/>
      <c r="M292" s="56"/>
      <c r="N292" s="56"/>
      <c r="O292" s="57">
        <v>2680016</v>
      </c>
      <c r="P292" s="56"/>
      <c r="Q292" s="56">
        <v>1788.9</v>
      </c>
      <c r="R292" s="57"/>
      <c r="S292" s="56">
        <v>891.11599999999999</v>
      </c>
      <c r="T292" s="56"/>
      <c r="U292" s="56">
        <v>1788.9</v>
      </c>
      <c r="V292" s="56"/>
      <c r="W292" s="56">
        <v>891.11599999999999</v>
      </c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</row>
    <row r="293" spans="1:39" x14ac:dyDescent="0.4">
      <c r="A293" s="56"/>
      <c r="B293" s="59"/>
      <c r="C293" s="56"/>
      <c r="D293" s="56"/>
      <c r="E293" s="56"/>
      <c r="F293" s="57"/>
      <c r="G293" s="57"/>
      <c r="H293" s="57"/>
      <c r="I293" s="56"/>
      <c r="J293" s="56"/>
      <c r="K293" s="56" t="s">
        <v>500</v>
      </c>
      <c r="L293" s="56"/>
      <c r="M293" s="56"/>
      <c r="N293" s="56"/>
      <c r="O293" s="57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</row>
    <row r="294" spans="1:39" x14ac:dyDescent="0.4">
      <c r="A294" s="56"/>
      <c r="B294" s="59"/>
      <c r="C294" s="56"/>
      <c r="D294" s="56"/>
      <c r="E294" s="56"/>
      <c r="F294" s="57"/>
      <c r="G294" s="57"/>
      <c r="H294" s="57"/>
      <c r="I294" s="56"/>
      <c r="J294" s="56"/>
      <c r="K294" s="56"/>
      <c r="L294" s="56" t="s">
        <v>501</v>
      </c>
      <c r="M294" s="56"/>
      <c r="N294" s="56"/>
      <c r="O294" s="57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</row>
    <row r="295" spans="1:39" x14ac:dyDescent="0.4">
      <c r="A295" s="56"/>
      <c r="B295" s="59"/>
      <c r="C295" s="56"/>
      <c r="D295" s="56"/>
      <c r="E295" s="56"/>
      <c r="F295" s="57"/>
      <c r="G295" s="57"/>
      <c r="H295" s="57"/>
      <c r="I295" s="56"/>
      <c r="J295" s="56"/>
      <c r="K295" s="56"/>
      <c r="L295" s="56" t="s">
        <v>502</v>
      </c>
      <c r="M295" s="56">
        <v>92.6</v>
      </c>
      <c r="N295" s="56">
        <v>1</v>
      </c>
      <c r="O295" s="57">
        <v>92600</v>
      </c>
      <c r="P295" s="56">
        <v>4.8</v>
      </c>
      <c r="Q295" s="56">
        <v>4.8</v>
      </c>
      <c r="R295" s="56">
        <v>87.8</v>
      </c>
      <c r="S295" s="56">
        <v>87.8</v>
      </c>
      <c r="T295" s="56">
        <v>4.8</v>
      </c>
      <c r="U295" s="56">
        <v>4.8</v>
      </c>
      <c r="V295" s="56">
        <v>87.8</v>
      </c>
      <c r="W295" s="56">
        <v>87.8</v>
      </c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</row>
    <row r="296" spans="1:39" x14ac:dyDescent="0.4">
      <c r="A296" s="56"/>
      <c r="B296" s="59"/>
      <c r="C296" s="56"/>
      <c r="D296" s="56"/>
      <c r="E296" s="56"/>
      <c r="F296" s="57"/>
      <c r="G296" s="57"/>
      <c r="H296" s="57"/>
      <c r="I296" s="56"/>
      <c r="J296" s="56" t="s">
        <v>243</v>
      </c>
      <c r="K296" s="56"/>
      <c r="L296" s="56" t="s">
        <v>936</v>
      </c>
      <c r="M296" s="56">
        <v>-92.6</v>
      </c>
      <c r="N296" s="56">
        <v>1</v>
      </c>
      <c r="O296" s="57">
        <v>-92600</v>
      </c>
      <c r="P296" s="56">
        <v>-4.8</v>
      </c>
      <c r="Q296" s="56">
        <v>-4.8</v>
      </c>
      <c r="R296" s="56">
        <v>-87.8</v>
      </c>
      <c r="S296" s="56">
        <v>-87.8</v>
      </c>
      <c r="T296" s="56">
        <v>-4.8</v>
      </c>
      <c r="U296" s="57">
        <v>-4.8</v>
      </c>
      <c r="V296" s="56">
        <v>-87.8</v>
      </c>
      <c r="W296" s="56">
        <v>-87.8</v>
      </c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</row>
    <row r="297" spans="1:39" x14ac:dyDescent="0.4">
      <c r="A297" s="56"/>
      <c r="B297" s="59"/>
      <c r="C297" s="56"/>
      <c r="D297" s="56"/>
      <c r="E297" s="56"/>
      <c r="F297" s="57"/>
      <c r="G297" s="57"/>
      <c r="H297" s="57"/>
      <c r="I297" s="56"/>
      <c r="J297" s="56"/>
      <c r="K297" s="56"/>
      <c r="L297" s="56" t="s">
        <v>503</v>
      </c>
      <c r="M297" s="56"/>
      <c r="N297" s="56"/>
      <c r="O297" s="57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</row>
    <row r="298" spans="1:39" x14ac:dyDescent="0.4">
      <c r="A298" s="56"/>
      <c r="B298" s="59"/>
      <c r="C298" s="56"/>
      <c r="D298" s="56"/>
      <c r="E298" s="56"/>
      <c r="F298" s="57"/>
      <c r="G298" s="57"/>
      <c r="H298" s="57"/>
      <c r="I298" s="56"/>
      <c r="J298" s="57"/>
      <c r="K298" s="56"/>
      <c r="L298" s="56" t="s">
        <v>937</v>
      </c>
      <c r="M298" s="56">
        <v>540.20000000000005</v>
      </c>
      <c r="N298" s="56">
        <v>1</v>
      </c>
      <c r="O298" s="57">
        <v>540200</v>
      </c>
      <c r="P298" s="56">
        <v>537.4</v>
      </c>
      <c r="Q298" s="56">
        <v>537.4</v>
      </c>
      <c r="R298" s="56">
        <v>2.8</v>
      </c>
      <c r="S298" s="56">
        <v>2.8</v>
      </c>
      <c r="T298" s="56">
        <v>537.4</v>
      </c>
      <c r="U298" s="57">
        <v>537.4</v>
      </c>
      <c r="V298" s="56">
        <v>2.8</v>
      </c>
      <c r="W298" s="56">
        <v>2.8</v>
      </c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</row>
    <row r="299" spans="1:39" x14ac:dyDescent="0.4">
      <c r="A299" s="56"/>
      <c r="B299" s="59"/>
      <c r="C299" s="56"/>
      <c r="D299" s="56"/>
      <c r="E299" s="56"/>
      <c r="F299" s="57"/>
      <c r="G299" s="57"/>
      <c r="H299" s="57"/>
      <c r="I299" s="56"/>
      <c r="J299" s="56"/>
      <c r="K299" s="56"/>
      <c r="L299" s="56" t="s">
        <v>938</v>
      </c>
      <c r="M299" s="56">
        <v>28</v>
      </c>
      <c r="N299" s="56">
        <v>1</v>
      </c>
      <c r="O299" s="57">
        <v>28000</v>
      </c>
      <c r="P299" s="56">
        <v>28</v>
      </c>
      <c r="Q299" s="56">
        <v>28</v>
      </c>
      <c r="R299" s="56">
        <v>0</v>
      </c>
      <c r="S299" s="56">
        <v>0</v>
      </c>
      <c r="T299" s="56">
        <v>28</v>
      </c>
      <c r="U299" s="57">
        <v>28</v>
      </c>
      <c r="V299" s="56">
        <v>0</v>
      </c>
      <c r="W299" s="56">
        <v>0</v>
      </c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</row>
    <row r="300" spans="1:39" x14ac:dyDescent="0.4">
      <c r="A300" s="56"/>
      <c r="B300" s="59"/>
      <c r="C300" s="56"/>
      <c r="D300" s="56"/>
      <c r="E300" s="56"/>
      <c r="F300" s="57"/>
      <c r="G300" s="57"/>
      <c r="H300" s="57"/>
      <c r="I300" s="56"/>
      <c r="J300" s="56"/>
      <c r="K300" s="56"/>
      <c r="L300" s="56" t="s">
        <v>939</v>
      </c>
      <c r="M300" s="56">
        <v>17</v>
      </c>
      <c r="N300" s="56">
        <v>1</v>
      </c>
      <c r="O300" s="57">
        <v>17000</v>
      </c>
      <c r="P300" s="56">
        <v>17</v>
      </c>
      <c r="Q300" s="56">
        <v>17</v>
      </c>
      <c r="R300" s="56">
        <v>0</v>
      </c>
      <c r="S300" s="56">
        <v>0</v>
      </c>
      <c r="T300" s="56">
        <v>17</v>
      </c>
      <c r="U300" s="57">
        <v>17</v>
      </c>
      <c r="V300" s="56">
        <v>0</v>
      </c>
      <c r="W300" s="56">
        <v>0</v>
      </c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</row>
    <row r="301" spans="1:39" x14ac:dyDescent="0.4">
      <c r="A301" s="56"/>
      <c r="B301" s="59"/>
      <c r="C301" s="56"/>
      <c r="D301" s="56"/>
      <c r="E301" s="56"/>
      <c r="F301" s="57"/>
      <c r="G301" s="57"/>
      <c r="H301" s="57"/>
      <c r="I301" s="56"/>
      <c r="J301" s="56"/>
      <c r="K301" s="56"/>
      <c r="L301" s="56" t="s">
        <v>765</v>
      </c>
      <c r="M301" s="56">
        <v>4</v>
      </c>
      <c r="N301" s="56">
        <v>2</v>
      </c>
      <c r="O301" s="57">
        <v>8000</v>
      </c>
      <c r="P301" s="56">
        <v>4</v>
      </c>
      <c r="Q301" s="56">
        <v>8</v>
      </c>
      <c r="R301" s="56">
        <v>0</v>
      </c>
      <c r="S301" s="56">
        <v>0</v>
      </c>
      <c r="T301" s="56">
        <v>4</v>
      </c>
      <c r="U301" s="57">
        <v>8</v>
      </c>
      <c r="V301" s="56">
        <v>0</v>
      </c>
      <c r="W301" s="56">
        <v>0</v>
      </c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</row>
    <row r="302" spans="1:39" x14ac:dyDescent="0.4">
      <c r="A302" s="56"/>
      <c r="B302" s="59"/>
      <c r="C302" s="56"/>
      <c r="D302" s="56"/>
      <c r="E302" s="56"/>
      <c r="F302" s="57"/>
      <c r="G302" s="57"/>
      <c r="H302" s="57"/>
      <c r="I302" s="56"/>
      <c r="J302" s="56"/>
      <c r="K302" s="56"/>
      <c r="L302" s="56" t="s">
        <v>504</v>
      </c>
      <c r="M302" s="56">
        <v>12</v>
      </c>
      <c r="N302" s="56">
        <v>1</v>
      </c>
      <c r="O302" s="57">
        <v>12000</v>
      </c>
      <c r="P302" s="56">
        <v>12</v>
      </c>
      <c r="Q302" s="56">
        <v>12</v>
      </c>
      <c r="R302" s="56">
        <v>0</v>
      </c>
      <c r="S302" s="56">
        <v>0</v>
      </c>
      <c r="T302" s="56">
        <v>12</v>
      </c>
      <c r="U302" s="56">
        <v>12</v>
      </c>
      <c r="V302" s="56">
        <v>0</v>
      </c>
      <c r="W302" s="56">
        <v>0</v>
      </c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</row>
    <row r="303" spans="1:39" x14ac:dyDescent="0.4">
      <c r="A303" s="56"/>
      <c r="B303" s="59"/>
      <c r="C303" s="56"/>
      <c r="D303" s="56"/>
      <c r="E303" s="56"/>
      <c r="F303" s="57"/>
      <c r="G303" s="57"/>
      <c r="H303" s="57"/>
      <c r="I303" s="56"/>
      <c r="J303" s="56"/>
      <c r="K303" s="56"/>
      <c r="L303" s="56" t="s">
        <v>505</v>
      </c>
      <c r="M303" s="56"/>
      <c r="N303" s="56"/>
      <c r="O303" s="57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</row>
    <row r="304" spans="1:39" x14ac:dyDescent="0.4">
      <c r="A304" s="56"/>
      <c r="B304" s="59"/>
      <c r="C304" s="56"/>
      <c r="D304" s="56"/>
      <c r="E304" s="56"/>
      <c r="F304" s="57"/>
      <c r="G304" s="57"/>
      <c r="H304" s="57"/>
      <c r="I304" s="56"/>
      <c r="J304" s="56"/>
      <c r="K304" s="56"/>
      <c r="L304" s="56" t="s">
        <v>506</v>
      </c>
      <c r="M304" s="56">
        <v>41.8</v>
      </c>
      <c r="N304" s="56">
        <v>1</v>
      </c>
      <c r="O304" s="57">
        <v>41800</v>
      </c>
      <c r="P304" s="56">
        <v>7.5</v>
      </c>
      <c r="Q304" s="56">
        <v>7.5</v>
      </c>
      <c r="R304" s="56">
        <v>34.299999999999997</v>
      </c>
      <c r="S304" s="56">
        <v>34.299999999999997</v>
      </c>
      <c r="T304" s="56">
        <v>7.5</v>
      </c>
      <c r="U304" s="57">
        <v>7.5</v>
      </c>
      <c r="V304" s="56">
        <v>34.299999999999997</v>
      </c>
      <c r="W304" s="56">
        <v>34.299999999999997</v>
      </c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</row>
    <row r="305" spans="1:39" x14ac:dyDescent="0.4">
      <c r="A305" s="56"/>
      <c r="B305" s="59"/>
      <c r="C305" s="56"/>
      <c r="D305" s="56"/>
      <c r="E305" s="56"/>
      <c r="F305" s="57"/>
      <c r="G305" s="57"/>
      <c r="H305" s="57"/>
      <c r="I305" s="56"/>
      <c r="J305" s="56"/>
      <c r="K305" s="56"/>
      <c r="L305" s="56" t="s">
        <v>837</v>
      </c>
      <c r="M305" s="56">
        <v>5.8</v>
      </c>
      <c r="N305" s="56">
        <v>1</v>
      </c>
      <c r="O305" s="57">
        <v>5800</v>
      </c>
      <c r="P305" s="56">
        <v>0</v>
      </c>
      <c r="Q305" s="56">
        <v>0</v>
      </c>
      <c r="R305" s="56">
        <v>5.8</v>
      </c>
      <c r="S305" s="56">
        <v>5.8</v>
      </c>
      <c r="T305" s="56">
        <v>0</v>
      </c>
      <c r="U305" s="56">
        <v>0</v>
      </c>
      <c r="V305" s="56">
        <v>5.8</v>
      </c>
      <c r="W305" s="56">
        <v>5.8</v>
      </c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</row>
    <row r="306" spans="1:39" x14ac:dyDescent="0.4">
      <c r="A306" s="56"/>
      <c r="B306" s="59"/>
      <c r="C306" s="56"/>
      <c r="D306" s="56"/>
      <c r="E306" s="56"/>
      <c r="F306" s="57"/>
      <c r="G306" s="57"/>
      <c r="H306" s="57"/>
      <c r="I306" s="56"/>
      <c r="J306" s="56"/>
      <c r="K306" s="56"/>
      <c r="L306" s="56" t="s">
        <v>507</v>
      </c>
      <c r="M306" s="56"/>
      <c r="N306" s="56"/>
      <c r="O306" s="57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</row>
    <row r="307" spans="1:39" x14ac:dyDescent="0.4">
      <c r="A307" s="56"/>
      <c r="B307" s="59"/>
      <c r="C307" s="56"/>
      <c r="D307" s="56"/>
      <c r="E307" s="56"/>
      <c r="F307" s="57"/>
      <c r="G307" s="57"/>
      <c r="H307" s="57"/>
      <c r="I307" s="56"/>
      <c r="J307" s="56"/>
      <c r="K307" s="56"/>
      <c r="L307" s="56" t="s">
        <v>508</v>
      </c>
      <c r="M307" s="56">
        <v>2.2000000000000002</v>
      </c>
      <c r="N307" s="56">
        <v>1</v>
      </c>
      <c r="O307" s="57">
        <v>2200</v>
      </c>
      <c r="P307" s="56">
        <v>0</v>
      </c>
      <c r="Q307" s="56">
        <v>0</v>
      </c>
      <c r="R307" s="56">
        <v>2.2000000000000002</v>
      </c>
      <c r="S307" s="56">
        <v>2.2000000000000002</v>
      </c>
      <c r="T307" s="56">
        <v>0</v>
      </c>
      <c r="U307" s="56">
        <v>0</v>
      </c>
      <c r="V307" s="56">
        <v>2.2000000000000002</v>
      </c>
      <c r="W307" s="56">
        <v>2.2000000000000002</v>
      </c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</row>
    <row r="308" spans="1:39" x14ac:dyDescent="0.4">
      <c r="A308" s="56"/>
      <c r="B308" s="59"/>
      <c r="C308" s="56"/>
      <c r="D308" s="56"/>
      <c r="E308" s="56"/>
      <c r="F308" s="57"/>
      <c r="G308" s="57"/>
      <c r="H308" s="57"/>
      <c r="I308" s="56"/>
      <c r="J308" s="56"/>
      <c r="K308" s="56"/>
      <c r="L308" s="56" t="s">
        <v>766</v>
      </c>
      <c r="M308" s="56"/>
      <c r="N308" s="56"/>
      <c r="O308" s="57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</row>
    <row r="309" spans="1:39" x14ac:dyDescent="0.4">
      <c r="A309" s="56"/>
      <c r="B309" s="59"/>
      <c r="C309" s="56"/>
      <c r="D309" s="56"/>
      <c r="E309" s="56"/>
      <c r="F309" s="57"/>
      <c r="G309" s="57"/>
      <c r="H309" s="57"/>
      <c r="I309" s="56"/>
      <c r="J309" s="56"/>
      <c r="K309" s="56"/>
      <c r="L309" s="56" t="s">
        <v>940</v>
      </c>
      <c r="M309" s="56">
        <v>140.19999999999999</v>
      </c>
      <c r="N309" s="56">
        <v>1</v>
      </c>
      <c r="O309" s="57">
        <v>140200</v>
      </c>
      <c r="P309" s="56">
        <v>142</v>
      </c>
      <c r="Q309" s="56">
        <v>142</v>
      </c>
      <c r="R309" s="56">
        <v>-1.8</v>
      </c>
      <c r="S309" s="56">
        <v>-1.8</v>
      </c>
      <c r="T309" s="56">
        <v>142</v>
      </c>
      <c r="U309" s="57">
        <v>142</v>
      </c>
      <c r="V309" s="56">
        <v>-1.8</v>
      </c>
      <c r="W309" s="56">
        <v>-1.8</v>
      </c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</row>
    <row r="310" spans="1:39" x14ac:dyDescent="0.4">
      <c r="A310" s="56"/>
      <c r="B310" s="59"/>
      <c r="C310" s="56"/>
      <c r="D310" s="56"/>
      <c r="E310" s="56"/>
      <c r="F310" s="57"/>
      <c r="G310" s="57"/>
      <c r="H310" s="57"/>
      <c r="I310" s="56"/>
      <c r="J310" s="56"/>
      <c r="K310" s="56"/>
      <c r="L310" s="56" t="s">
        <v>767</v>
      </c>
      <c r="M310" s="56">
        <v>1</v>
      </c>
      <c r="N310" s="56">
        <v>1</v>
      </c>
      <c r="O310" s="57">
        <v>1000</v>
      </c>
      <c r="P310" s="56">
        <v>1</v>
      </c>
      <c r="Q310" s="56">
        <v>1</v>
      </c>
      <c r="R310" s="56">
        <v>0</v>
      </c>
      <c r="S310" s="56">
        <v>0</v>
      </c>
      <c r="T310" s="56">
        <v>1</v>
      </c>
      <c r="U310" s="57">
        <v>1</v>
      </c>
      <c r="V310" s="56">
        <v>0</v>
      </c>
      <c r="W310" s="56">
        <v>0</v>
      </c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</row>
    <row r="311" spans="1:39" x14ac:dyDescent="0.4">
      <c r="A311" s="56"/>
      <c r="B311" s="59"/>
      <c r="C311" s="56"/>
      <c r="D311" s="56"/>
      <c r="E311" s="56"/>
      <c r="F311" s="57"/>
      <c r="G311" s="57"/>
      <c r="H311" s="57"/>
      <c r="I311" s="56"/>
      <c r="J311" s="56"/>
      <c r="K311" s="56"/>
      <c r="L311" s="56" t="s">
        <v>941</v>
      </c>
      <c r="M311" s="56">
        <v>3.5</v>
      </c>
      <c r="N311" s="56">
        <v>1</v>
      </c>
      <c r="O311" s="57">
        <v>3500</v>
      </c>
      <c r="P311" s="56">
        <v>3.5</v>
      </c>
      <c r="Q311" s="56">
        <v>3.5</v>
      </c>
      <c r="R311" s="56">
        <v>0</v>
      </c>
      <c r="S311" s="56">
        <v>0</v>
      </c>
      <c r="T311" s="56">
        <v>3.5</v>
      </c>
      <c r="U311" s="57">
        <v>3.5</v>
      </c>
      <c r="V311" s="56">
        <v>0</v>
      </c>
      <c r="W311" s="56">
        <v>0</v>
      </c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</row>
    <row r="312" spans="1:39" x14ac:dyDescent="0.4">
      <c r="A312" s="56"/>
      <c r="B312" s="59"/>
      <c r="C312" s="56"/>
      <c r="D312" s="56"/>
      <c r="E312" s="56"/>
      <c r="F312" s="57"/>
      <c r="G312" s="57"/>
      <c r="H312" s="57"/>
      <c r="I312" s="56"/>
      <c r="J312" s="56"/>
      <c r="K312" s="56"/>
      <c r="L312" s="56" t="s">
        <v>838</v>
      </c>
      <c r="M312" s="56"/>
      <c r="N312" s="56"/>
      <c r="O312" s="57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</row>
    <row r="313" spans="1:39" x14ac:dyDescent="0.4">
      <c r="A313" s="56"/>
      <c r="B313" s="59"/>
      <c r="C313" s="56"/>
      <c r="D313" s="56"/>
      <c r="E313" s="56"/>
      <c r="F313" s="57"/>
      <c r="G313" s="57"/>
      <c r="H313" s="57"/>
      <c r="I313" s="56"/>
      <c r="J313" s="56"/>
      <c r="K313" s="56"/>
      <c r="L313" s="56" t="s">
        <v>768</v>
      </c>
      <c r="M313" s="56">
        <v>42.9</v>
      </c>
      <c r="N313" s="56">
        <v>1</v>
      </c>
      <c r="O313" s="57">
        <v>42900</v>
      </c>
      <c r="P313" s="56">
        <v>10.3</v>
      </c>
      <c r="Q313" s="56">
        <v>10.3</v>
      </c>
      <c r="R313" s="56">
        <v>32.6</v>
      </c>
      <c r="S313" s="56">
        <v>32.6</v>
      </c>
      <c r="T313" s="56">
        <v>10.3</v>
      </c>
      <c r="U313" s="57">
        <v>10.3</v>
      </c>
      <c r="V313" s="56">
        <v>32.6</v>
      </c>
      <c r="W313" s="56">
        <v>32.6</v>
      </c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</row>
    <row r="314" spans="1:39" x14ac:dyDescent="0.4">
      <c r="A314" s="56"/>
      <c r="B314" s="59"/>
      <c r="C314" s="56"/>
      <c r="D314" s="56"/>
      <c r="E314" s="56"/>
      <c r="F314" s="57"/>
      <c r="G314" s="57"/>
      <c r="H314" s="57"/>
      <c r="I314" s="56"/>
      <c r="J314" s="56"/>
      <c r="K314" s="56"/>
      <c r="L314" s="56" t="s">
        <v>839</v>
      </c>
      <c r="M314" s="56">
        <v>5.3</v>
      </c>
      <c r="N314" s="56">
        <v>1</v>
      </c>
      <c r="O314" s="57">
        <v>5300</v>
      </c>
      <c r="P314" s="56">
        <v>0</v>
      </c>
      <c r="Q314" s="56">
        <v>0</v>
      </c>
      <c r="R314" s="56">
        <v>5.3</v>
      </c>
      <c r="S314" s="56">
        <v>5.3</v>
      </c>
      <c r="T314" s="56">
        <v>0</v>
      </c>
      <c r="U314" s="57">
        <v>0</v>
      </c>
      <c r="V314" s="56">
        <v>5.3</v>
      </c>
      <c r="W314" s="56">
        <v>5.3</v>
      </c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</row>
    <row r="315" spans="1:39" x14ac:dyDescent="0.4">
      <c r="A315" s="56"/>
      <c r="B315" s="59"/>
      <c r="C315" s="56"/>
      <c r="D315" s="56"/>
      <c r="E315" s="56"/>
      <c r="F315" s="57"/>
      <c r="G315" s="57"/>
      <c r="H315" s="57"/>
      <c r="I315" s="56"/>
      <c r="J315" s="56"/>
      <c r="K315" s="56"/>
      <c r="L315" s="56" t="s">
        <v>840</v>
      </c>
      <c r="M315" s="56"/>
      <c r="N315" s="56"/>
      <c r="O315" s="57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</row>
    <row r="316" spans="1:39" x14ac:dyDescent="0.4">
      <c r="A316" s="56"/>
      <c r="B316" s="59"/>
      <c r="C316" s="56"/>
      <c r="D316" s="56"/>
      <c r="E316" s="56"/>
      <c r="F316" s="57"/>
      <c r="G316" s="57"/>
      <c r="H316" s="57"/>
      <c r="I316" s="56"/>
      <c r="J316" s="56"/>
      <c r="K316" s="56"/>
      <c r="L316" s="56" t="s">
        <v>509</v>
      </c>
      <c r="M316" s="56"/>
      <c r="N316" s="56"/>
      <c r="O316" s="57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</row>
    <row r="317" spans="1:39" x14ac:dyDescent="0.4">
      <c r="A317" s="56"/>
      <c r="B317" s="59"/>
      <c r="C317" s="56"/>
      <c r="D317" s="56"/>
      <c r="E317" s="56"/>
      <c r="F317" s="57"/>
      <c r="G317" s="57"/>
      <c r="H317" s="57"/>
      <c r="I317" s="56"/>
      <c r="J317" s="56"/>
      <c r="K317" s="56"/>
      <c r="L317" s="56" t="s">
        <v>510</v>
      </c>
      <c r="M317" s="56">
        <v>11.5</v>
      </c>
      <c r="N317" s="56">
        <v>1</v>
      </c>
      <c r="O317" s="57">
        <v>11500</v>
      </c>
      <c r="P317" s="56">
        <v>11.5</v>
      </c>
      <c r="Q317" s="56">
        <v>11.5</v>
      </c>
      <c r="R317" s="56">
        <v>0</v>
      </c>
      <c r="S317" s="56">
        <v>0</v>
      </c>
      <c r="T317" s="56">
        <v>11.5</v>
      </c>
      <c r="U317" s="56">
        <v>11.5</v>
      </c>
      <c r="V317" s="56">
        <v>0</v>
      </c>
      <c r="W317" s="57">
        <v>0</v>
      </c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</row>
    <row r="318" spans="1:39" x14ac:dyDescent="0.4">
      <c r="A318" s="56"/>
      <c r="B318" s="59"/>
      <c r="C318" s="56"/>
      <c r="D318" s="56"/>
      <c r="E318" s="56"/>
      <c r="F318" s="57"/>
      <c r="G318" s="57"/>
      <c r="H318" s="57"/>
      <c r="I318" s="56"/>
      <c r="J318" s="56"/>
      <c r="K318" s="56"/>
      <c r="L318" s="56" t="s">
        <v>511</v>
      </c>
      <c r="M318" s="56"/>
      <c r="N318" s="56"/>
      <c r="O318" s="57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</row>
    <row r="319" spans="1:39" x14ac:dyDescent="0.4">
      <c r="A319" s="56"/>
      <c r="B319" s="59"/>
      <c r="C319" s="56"/>
      <c r="D319" s="56"/>
      <c r="E319" s="56"/>
      <c r="F319" s="57"/>
      <c r="G319" s="57"/>
      <c r="H319" s="57"/>
      <c r="I319" s="56"/>
      <c r="J319" s="56"/>
      <c r="K319" s="56"/>
      <c r="L319" s="56" t="s">
        <v>942</v>
      </c>
      <c r="M319" s="56">
        <v>18.5</v>
      </c>
      <c r="N319" s="56">
        <v>1</v>
      </c>
      <c r="O319" s="57">
        <v>18500</v>
      </c>
      <c r="P319" s="56">
        <v>0</v>
      </c>
      <c r="Q319" s="56">
        <v>0</v>
      </c>
      <c r="R319" s="56">
        <v>18.5</v>
      </c>
      <c r="S319" s="56">
        <v>18.5</v>
      </c>
      <c r="T319" s="56">
        <v>0</v>
      </c>
      <c r="U319" s="56">
        <v>0</v>
      </c>
      <c r="V319" s="56">
        <v>18.5</v>
      </c>
      <c r="W319" s="57">
        <v>18.5</v>
      </c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</row>
    <row r="320" spans="1:39" x14ac:dyDescent="0.4">
      <c r="A320" s="56"/>
      <c r="B320" s="59"/>
      <c r="C320" s="56"/>
      <c r="D320" s="56"/>
      <c r="E320" s="56"/>
      <c r="F320" s="57"/>
      <c r="G320" s="57"/>
      <c r="H320" s="57"/>
      <c r="I320" s="56"/>
      <c r="J320" s="56"/>
      <c r="K320" s="56"/>
      <c r="L320" s="56" t="s">
        <v>943</v>
      </c>
      <c r="M320" s="56"/>
      <c r="N320" s="56"/>
      <c r="O320" s="57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</row>
    <row r="321" spans="1:39" x14ac:dyDescent="0.4">
      <c r="A321" s="56"/>
      <c r="B321" s="59"/>
      <c r="C321" s="56"/>
      <c r="D321" s="56"/>
      <c r="E321" s="56"/>
      <c r="F321" s="57"/>
      <c r="G321" s="57"/>
      <c r="H321" s="57"/>
      <c r="I321" s="56"/>
      <c r="J321" s="56"/>
      <c r="K321" s="56"/>
      <c r="L321" s="56" t="s">
        <v>512</v>
      </c>
      <c r="M321" s="56"/>
      <c r="N321" s="56"/>
      <c r="O321" s="57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</row>
    <row r="322" spans="1:39" x14ac:dyDescent="0.4">
      <c r="A322" s="56"/>
      <c r="B322" s="59"/>
      <c r="C322" s="56"/>
      <c r="D322" s="56"/>
      <c r="E322" s="56"/>
      <c r="F322" s="57"/>
      <c r="G322" s="57"/>
      <c r="H322" s="57"/>
      <c r="I322" s="56"/>
      <c r="J322" s="56"/>
      <c r="K322" s="56"/>
      <c r="L322" s="56" t="s">
        <v>513</v>
      </c>
      <c r="M322" s="56">
        <v>9</v>
      </c>
      <c r="N322" s="56">
        <v>2</v>
      </c>
      <c r="O322" s="57">
        <v>18000</v>
      </c>
      <c r="P322" s="56">
        <v>9</v>
      </c>
      <c r="Q322" s="56">
        <v>18</v>
      </c>
      <c r="R322" s="56">
        <v>0</v>
      </c>
      <c r="S322" s="56">
        <v>0</v>
      </c>
      <c r="T322" s="56">
        <v>9</v>
      </c>
      <c r="U322" s="56">
        <v>18</v>
      </c>
      <c r="V322" s="56">
        <v>0</v>
      </c>
      <c r="W322" s="57">
        <v>0</v>
      </c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</row>
    <row r="323" spans="1:39" x14ac:dyDescent="0.4">
      <c r="A323" s="56"/>
      <c r="B323" s="59"/>
      <c r="C323" s="56"/>
      <c r="D323" s="56"/>
      <c r="E323" s="56"/>
      <c r="F323" s="57"/>
      <c r="G323" s="57"/>
      <c r="H323" s="57"/>
      <c r="I323" s="56"/>
      <c r="J323" s="56"/>
      <c r="K323" s="56"/>
      <c r="L323" s="56" t="s">
        <v>514</v>
      </c>
      <c r="M323" s="56"/>
      <c r="N323" s="56"/>
      <c r="O323" s="57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</row>
    <row r="324" spans="1:39" x14ac:dyDescent="0.4">
      <c r="A324" s="56"/>
      <c r="B324" s="59"/>
      <c r="C324" s="56"/>
      <c r="D324" s="56"/>
      <c r="E324" s="56"/>
      <c r="F324" s="57"/>
      <c r="G324" s="57"/>
      <c r="H324" s="57"/>
      <c r="I324" s="56"/>
      <c r="J324" s="56"/>
      <c r="K324" s="56"/>
      <c r="L324" s="56" t="s">
        <v>944</v>
      </c>
      <c r="M324" s="56">
        <v>110.3</v>
      </c>
      <c r="N324" s="56">
        <v>1</v>
      </c>
      <c r="O324" s="57">
        <v>110300</v>
      </c>
      <c r="P324" s="56">
        <v>87.7</v>
      </c>
      <c r="Q324" s="56">
        <v>87.7</v>
      </c>
      <c r="R324" s="56">
        <v>22.6</v>
      </c>
      <c r="S324" s="56">
        <v>22.6</v>
      </c>
      <c r="T324" s="56">
        <v>87.7</v>
      </c>
      <c r="U324" s="56">
        <v>87.7</v>
      </c>
      <c r="V324" s="56">
        <v>22.6</v>
      </c>
      <c r="W324" s="56">
        <v>22.6</v>
      </c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</row>
    <row r="325" spans="1:39" x14ac:dyDescent="0.4">
      <c r="A325" s="56"/>
      <c r="B325" s="59"/>
      <c r="C325" s="56"/>
      <c r="D325" s="56"/>
      <c r="E325" s="56"/>
      <c r="F325" s="57"/>
      <c r="G325" s="57"/>
      <c r="H325" s="57"/>
      <c r="I325" s="56"/>
      <c r="J325" s="56"/>
      <c r="K325" s="56"/>
      <c r="L325" s="56" t="s">
        <v>945</v>
      </c>
      <c r="M325" s="56">
        <v>126</v>
      </c>
      <c r="N325" s="56">
        <v>1</v>
      </c>
      <c r="O325" s="57">
        <v>126000</v>
      </c>
      <c r="P325" s="56">
        <v>87.7</v>
      </c>
      <c r="Q325" s="56">
        <v>87.7</v>
      </c>
      <c r="R325" s="56">
        <v>38.299999999999997</v>
      </c>
      <c r="S325" s="56">
        <v>38.299999999999997</v>
      </c>
      <c r="T325" s="56">
        <v>87.7</v>
      </c>
      <c r="U325" s="56">
        <v>87.7</v>
      </c>
      <c r="V325" s="56">
        <v>38.299999999999997</v>
      </c>
      <c r="W325" s="57">
        <v>38.299999999999997</v>
      </c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</row>
    <row r="326" spans="1:39" x14ac:dyDescent="0.4">
      <c r="A326" s="56"/>
      <c r="B326" s="59"/>
      <c r="C326" s="56"/>
      <c r="D326" s="56"/>
      <c r="E326" s="56"/>
      <c r="F326" s="57"/>
      <c r="G326" s="57"/>
      <c r="H326" s="57"/>
      <c r="I326" s="56"/>
      <c r="J326" s="56"/>
      <c r="K326" s="56"/>
      <c r="L326" s="56" t="s">
        <v>515</v>
      </c>
      <c r="M326" s="56"/>
      <c r="N326" s="56"/>
      <c r="O326" s="57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</row>
    <row r="327" spans="1:39" x14ac:dyDescent="0.4">
      <c r="A327" s="56"/>
      <c r="B327" s="59"/>
      <c r="C327" s="56"/>
      <c r="D327" s="56"/>
      <c r="E327" s="56"/>
      <c r="F327" s="57"/>
      <c r="G327" s="57"/>
      <c r="H327" s="57"/>
      <c r="I327" s="56"/>
      <c r="J327" s="56"/>
      <c r="K327" s="56"/>
      <c r="L327" s="56" t="s">
        <v>946</v>
      </c>
      <c r="M327" s="56">
        <v>1</v>
      </c>
      <c r="N327" s="56">
        <v>2</v>
      </c>
      <c r="O327" s="57">
        <v>2000</v>
      </c>
      <c r="P327" s="56">
        <v>1</v>
      </c>
      <c r="Q327" s="56">
        <v>2</v>
      </c>
      <c r="R327" s="56">
        <v>0</v>
      </c>
      <c r="S327" s="56">
        <v>0</v>
      </c>
      <c r="T327" s="56">
        <v>1</v>
      </c>
      <c r="U327" s="56">
        <v>2</v>
      </c>
      <c r="V327" s="56">
        <v>0</v>
      </c>
      <c r="W327" s="57">
        <v>0</v>
      </c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</row>
    <row r="328" spans="1:39" x14ac:dyDescent="0.4">
      <c r="A328" s="56"/>
      <c r="B328" s="59"/>
      <c r="C328" s="56"/>
      <c r="D328" s="56"/>
      <c r="E328" s="56"/>
      <c r="F328" s="57"/>
      <c r="G328" s="57"/>
      <c r="H328" s="57"/>
      <c r="I328" s="56"/>
      <c r="J328" s="56"/>
      <c r="K328" s="56"/>
      <c r="L328" s="56" t="s">
        <v>947</v>
      </c>
      <c r="M328" s="56">
        <v>6</v>
      </c>
      <c r="N328" s="56">
        <v>2</v>
      </c>
      <c r="O328" s="57">
        <v>12000</v>
      </c>
      <c r="P328" s="56">
        <v>6</v>
      </c>
      <c r="Q328" s="56">
        <v>12</v>
      </c>
      <c r="R328" s="56">
        <v>0</v>
      </c>
      <c r="S328" s="56">
        <v>0</v>
      </c>
      <c r="T328" s="56">
        <v>6</v>
      </c>
      <c r="U328" s="56">
        <v>12</v>
      </c>
      <c r="V328" s="56">
        <v>0</v>
      </c>
      <c r="W328" s="57">
        <v>0</v>
      </c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</row>
    <row r="329" spans="1:39" x14ac:dyDescent="0.4">
      <c r="A329" s="56"/>
      <c r="B329" s="59"/>
      <c r="C329" s="56"/>
      <c r="D329" s="56"/>
      <c r="E329" s="56"/>
      <c r="F329" s="57"/>
      <c r="G329" s="57"/>
      <c r="H329" s="57"/>
      <c r="I329" s="56"/>
      <c r="J329" s="56"/>
      <c r="K329" s="56"/>
      <c r="L329" s="56" t="s">
        <v>516</v>
      </c>
      <c r="M329" s="56">
        <v>6.8</v>
      </c>
      <c r="N329" s="56">
        <v>1</v>
      </c>
      <c r="O329" s="57">
        <v>6800</v>
      </c>
      <c r="P329" s="56">
        <v>6</v>
      </c>
      <c r="Q329" s="56">
        <v>6</v>
      </c>
      <c r="R329" s="56">
        <v>0.8</v>
      </c>
      <c r="S329" s="56">
        <v>0.8</v>
      </c>
      <c r="T329" s="56">
        <v>6</v>
      </c>
      <c r="U329" s="56">
        <v>6</v>
      </c>
      <c r="V329" s="56">
        <v>0.8</v>
      </c>
      <c r="W329" s="56">
        <v>0.8</v>
      </c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</row>
    <row r="330" spans="1:39" x14ac:dyDescent="0.4">
      <c r="A330" s="56"/>
      <c r="B330" s="59"/>
      <c r="C330" s="56"/>
      <c r="D330" s="56"/>
      <c r="E330" s="56"/>
      <c r="F330" s="57"/>
      <c r="G330" s="57"/>
      <c r="H330" s="57"/>
      <c r="I330" s="56"/>
      <c r="J330" s="56"/>
      <c r="K330" s="56"/>
      <c r="L330" s="56" t="s">
        <v>948</v>
      </c>
      <c r="M330" s="56">
        <v>3.7</v>
      </c>
      <c r="N330" s="56">
        <v>1</v>
      </c>
      <c r="O330" s="57">
        <v>3700</v>
      </c>
      <c r="P330" s="56">
        <v>3</v>
      </c>
      <c r="Q330" s="56">
        <v>3</v>
      </c>
      <c r="R330" s="56">
        <v>0.7</v>
      </c>
      <c r="S330" s="56">
        <v>0.7</v>
      </c>
      <c r="T330" s="56">
        <v>3</v>
      </c>
      <c r="U330" s="56">
        <v>3</v>
      </c>
      <c r="V330" s="56">
        <v>0.7</v>
      </c>
      <c r="W330" s="57">
        <v>0.7</v>
      </c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</row>
    <row r="331" spans="1:39" x14ac:dyDescent="0.4">
      <c r="A331" s="56"/>
      <c r="B331" s="59"/>
      <c r="C331" s="56"/>
      <c r="D331" s="56"/>
      <c r="E331" s="56"/>
      <c r="F331" s="57"/>
      <c r="G331" s="57"/>
      <c r="H331" s="57"/>
      <c r="I331" s="56"/>
      <c r="J331" s="56"/>
      <c r="K331" s="56"/>
      <c r="L331" s="56" t="s">
        <v>769</v>
      </c>
      <c r="M331" s="56">
        <v>5.3</v>
      </c>
      <c r="N331" s="56">
        <v>2</v>
      </c>
      <c r="O331" s="57">
        <v>10600</v>
      </c>
      <c r="P331" s="56">
        <v>4</v>
      </c>
      <c r="Q331" s="56">
        <v>8</v>
      </c>
      <c r="R331" s="56">
        <v>1.3</v>
      </c>
      <c r="S331" s="56">
        <v>2.6</v>
      </c>
      <c r="T331" s="56">
        <v>4</v>
      </c>
      <c r="U331" s="56">
        <v>8</v>
      </c>
      <c r="V331" s="56">
        <v>1.3</v>
      </c>
      <c r="W331" s="56">
        <v>2.6</v>
      </c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</row>
    <row r="332" spans="1:39" x14ac:dyDescent="0.4">
      <c r="A332" s="56"/>
      <c r="B332" s="59"/>
      <c r="C332" s="56"/>
      <c r="D332" s="56"/>
      <c r="E332" s="56"/>
      <c r="F332" s="57"/>
      <c r="G332" s="57"/>
      <c r="H332" s="57"/>
      <c r="I332" s="56"/>
      <c r="J332" s="56"/>
      <c r="K332" s="56"/>
      <c r="L332" s="56" t="s">
        <v>949</v>
      </c>
      <c r="M332" s="56">
        <v>113.8</v>
      </c>
      <c r="N332" s="56">
        <v>1</v>
      </c>
      <c r="O332" s="57">
        <v>113800</v>
      </c>
      <c r="P332" s="56">
        <v>0</v>
      </c>
      <c r="Q332" s="56">
        <v>0</v>
      </c>
      <c r="R332" s="56">
        <v>113.8</v>
      </c>
      <c r="S332" s="56">
        <v>113.8</v>
      </c>
      <c r="T332" s="56">
        <v>0</v>
      </c>
      <c r="U332" s="56">
        <v>0</v>
      </c>
      <c r="V332" s="56">
        <v>113.8</v>
      </c>
      <c r="W332" s="57">
        <v>113.8</v>
      </c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</row>
    <row r="333" spans="1:39" x14ac:dyDescent="0.4">
      <c r="A333" s="56"/>
      <c r="B333" s="59"/>
      <c r="C333" s="56"/>
      <c r="D333" s="56"/>
      <c r="E333" s="56"/>
      <c r="F333" s="57"/>
      <c r="G333" s="57"/>
      <c r="H333" s="57"/>
      <c r="I333" s="56"/>
      <c r="J333" s="56"/>
      <c r="K333" s="56"/>
      <c r="L333" s="56" t="s">
        <v>950</v>
      </c>
      <c r="M333" s="56">
        <v>38.299999999999997</v>
      </c>
      <c r="N333" s="56">
        <v>2</v>
      </c>
      <c r="O333" s="57">
        <v>76600</v>
      </c>
      <c r="P333" s="56">
        <v>0</v>
      </c>
      <c r="Q333" s="56">
        <v>0</v>
      </c>
      <c r="R333" s="56">
        <v>38.299999999999997</v>
      </c>
      <c r="S333" s="56">
        <v>76.599999999999994</v>
      </c>
      <c r="T333" s="56">
        <v>0</v>
      </c>
      <c r="U333" s="56">
        <v>0</v>
      </c>
      <c r="V333" s="56">
        <v>38.299999999999997</v>
      </c>
      <c r="W333" s="57">
        <v>76.599999999999994</v>
      </c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</row>
    <row r="334" spans="1:39" x14ac:dyDescent="0.4">
      <c r="A334" s="56"/>
      <c r="B334" s="59"/>
      <c r="C334" s="56"/>
      <c r="D334" s="56"/>
      <c r="E334" s="56"/>
      <c r="F334" s="57"/>
      <c r="G334" s="57"/>
      <c r="H334" s="57"/>
      <c r="I334" s="56"/>
      <c r="J334" s="56" t="s">
        <v>243</v>
      </c>
      <c r="K334" s="56"/>
      <c r="L334" s="56" t="s">
        <v>951</v>
      </c>
      <c r="M334" s="56">
        <v>-38.299999999999997</v>
      </c>
      <c r="N334" s="56">
        <v>1</v>
      </c>
      <c r="O334" s="57">
        <v>-38300</v>
      </c>
      <c r="P334" s="56">
        <v>0</v>
      </c>
      <c r="Q334" s="56">
        <v>0</v>
      </c>
      <c r="R334" s="56">
        <v>-38.299999999999997</v>
      </c>
      <c r="S334" s="56">
        <v>-38.299999999999997</v>
      </c>
      <c r="T334" s="56">
        <v>0</v>
      </c>
      <c r="U334" s="56">
        <v>0</v>
      </c>
      <c r="V334" s="56">
        <v>-38.299999999999997</v>
      </c>
      <c r="W334" s="56">
        <v>-38.299999999999997</v>
      </c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</row>
    <row r="335" spans="1:39" x14ac:dyDescent="0.4">
      <c r="A335" s="56"/>
      <c r="B335" s="59"/>
      <c r="C335" s="56"/>
      <c r="D335" s="56"/>
      <c r="E335" s="56"/>
      <c r="F335" s="57"/>
      <c r="G335" s="57"/>
      <c r="H335" s="57"/>
      <c r="I335" s="56"/>
      <c r="J335" s="56"/>
      <c r="K335" s="56"/>
      <c r="L335" s="56" t="s">
        <v>517</v>
      </c>
      <c r="M335" s="56">
        <v>14</v>
      </c>
      <c r="N335" s="56">
        <v>2</v>
      </c>
      <c r="O335" s="57">
        <v>28000</v>
      </c>
      <c r="P335" s="56">
        <v>13.1</v>
      </c>
      <c r="Q335" s="56">
        <v>26.2</v>
      </c>
      <c r="R335" s="56">
        <v>0.9</v>
      </c>
      <c r="S335" s="56">
        <v>1.8</v>
      </c>
      <c r="T335" s="56">
        <v>13.1</v>
      </c>
      <c r="U335" s="56">
        <v>26.2</v>
      </c>
      <c r="V335" s="56">
        <v>0.9</v>
      </c>
      <c r="W335" s="57">
        <v>1.8</v>
      </c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</row>
    <row r="336" spans="1:39" x14ac:dyDescent="0.4">
      <c r="A336" s="56"/>
      <c r="B336" s="59"/>
      <c r="C336" s="56"/>
      <c r="D336" s="56"/>
      <c r="E336" s="56"/>
      <c r="F336" s="57"/>
      <c r="G336" s="57"/>
      <c r="H336" s="57"/>
      <c r="I336" s="56"/>
      <c r="J336" s="56"/>
      <c r="K336" s="56"/>
      <c r="L336" s="56" t="s">
        <v>518</v>
      </c>
      <c r="M336" s="56"/>
      <c r="N336" s="56"/>
      <c r="O336" s="57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</row>
    <row r="337" spans="1:39" x14ac:dyDescent="0.4">
      <c r="A337" s="56"/>
      <c r="B337" s="59"/>
      <c r="C337" s="56"/>
      <c r="D337" s="56"/>
      <c r="E337" s="56"/>
      <c r="F337" s="57"/>
      <c r="G337" s="57"/>
      <c r="H337" s="57"/>
      <c r="I337" s="56"/>
      <c r="J337" s="56"/>
      <c r="K337" s="56"/>
      <c r="L337" s="56" t="s">
        <v>519</v>
      </c>
      <c r="M337" s="56">
        <v>12</v>
      </c>
      <c r="N337" s="56">
        <v>1</v>
      </c>
      <c r="O337" s="57">
        <v>12000</v>
      </c>
      <c r="P337" s="56">
        <v>11</v>
      </c>
      <c r="Q337" s="56">
        <v>11</v>
      </c>
      <c r="R337" s="56">
        <v>1</v>
      </c>
      <c r="S337" s="56">
        <v>1</v>
      </c>
      <c r="T337" s="56">
        <v>11</v>
      </c>
      <c r="U337" s="56">
        <v>11</v>
      </c>
      <c r="V337" s="56">
        <v>1</v>
      </c>
      <c r="W337" s="57">
        <v>1</v>
      </c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</row>
    <row r="338" spans="1:39" x14ac:dyDescent="0.4">
      <c r="A338" s="56"/>
      <c r="B338" s="59"/>
      <c r="C338" s="56"/>
      <c r="D338" s="56"/>
      <c r="E338" s="56"/>
      <c r="F338" s="57"/>
      <c r="G338" s="57"/>
      <c r="H338" s="57"/>
      <c r="I338" s="56"/>
      <c r="J338" s="56"/>
      <c r="K338" s="56"/>
      <c r="L338" s="56" t="s">
        <v>520</v>
      </c>
      <c r="M338" s="56">
        <v>8</v>
      </c>
      <c r="N338" s="56">
        <v>2</v>
      </c>
      <c r="O338" s="57">
        <v>16000</v>
      </c>
      <c r="P338" s="56">
        <v>7</v>
      </c>
      <c r="Q338" s="56">
        <v>14</v>
      </c>
      <c r="R338" s="56">
        <v>1</v>
      </c>
      <c r="S338" s="56">
        <v>2</v>
      </c>
      <c r="T338" s="56">
        <v>7</v>
      </c>
      <c r="U338" s="56">
        <v>14</v>
      </c>
      <c r="V338" s="56">
        <v>1</v>
      </c>
      <c r="W338" s="57">
        <v>2</v>
      </c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</row>
    <row r="339" spans="1:39" x14ac:dyDescent="0.4">
      <c r="A339" s="56"/>
      <c r="B339" s="59"/>
      <c r="C339" s="56"/>
      <c r="D339" s="56"/>
      <c r="E339" s="56"/>
      <c r="F339" s="57"/>
      <c r="G339" s="57"/>
      <c r="H339" s="57"/>
      <c r="I339" s="56"/>
      <c r="J339" s="56"/>
      <c r="K339" s="56"/>
      <c r="L339" s="56" t="s">
        <v>521</v>
      </c>
      <c r="M339" s="56"/>
      <c r="N339" s="56"/>
      <c r="O339" s="57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</row>
    <row r="340" spans="1:39" x14ac:dyDescent="0.4">
      <c r="A340" s="56"/>
      <c r="B340" s="59"/>
      <c r="C340" s="56"/>
      <c r="D340" s="56"/>
      <c r="E340" s="56"/>
      <c r="F340" s="57"/>
      <c r="G340" s="57"/>
      <c r="H340" s="57"/>
      <c r="I340" s="56"/>
      <c r="J340" s="56"/>
      <c r="K340" s="56"/>
      <c r="L340" s="56" t="s">
        <v>522</v>
      </c>
      <c r="M340" s="56">
        <v>17.100000000000001</v>
      </c>
      <c r="N340" s="56">
        <v>1</v>
      </c>
      <c r="O340" s="57">
        <v>17100</v>
      </c>
      <c r="P340" s="56">
        <v>15.2</v>
      </c>
      <c r="Q340" s="56">
        <v>15.2</v>
      </c>
      <c r="R340" s="56">
        <v>1.9</v>
      </c>
      <c r="S340" s="56">
        <v>1.9</v>
      </c>
      <c r="T340" s="56">
        <v>15.2</v>
      </c>
      <c r="U340" s="56">
        <v>15.2</v>
      </c>
      <c r="V340" s="56">
        <v>1.9</v>
      </c>
      <c r="W340" s="56">
        <v>1.9</v>
      </c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</row>
    <row r="341" spans="1:39" x14ac:dyDescent="0.4">
      <c r="A341" s="56"/>
      <c r="B341" s="59"/>
      <c r="C341" s="56"/>
      <c r="D341" s="56"/>
      <c r="E341" s="56"/>
      <c r="F341" s="57"/>
      <c r="G341" s="57"/>
      <c r="H341" s="57"/>
      <c r="I341" s="56"/>
      <c r="J341" s="56"/>
      <c r="K341" s="56"/>
      <c r="L341" s="56" t="s">
        <v>523</v>
      </c>
      <c r="M341" s="56">
        <v>0.6</v>
      </c>
      <c r="N341" s="56">
        <v>4</v>
      </c>
      <c r="O341" s="57">
        <v>2400</v>
      </c>
      <c r="P341" s="56">
        <v>0</v>
      </c>
      <c r="Q341" s="56">
        <v>0</v>
      </c>
      <c r="R341" s="56">
        <v>0.6</v>
      </c>
      <c r="S341" s="56">
        <v>2.4</v>
      </c>
      <c r="T341" s="56">
        <v>0</v>
      </c>
      <c r="U341" s="56">
        <v>0</v>
      </c>
      <c r="V341" s="56">
        <v>0.6</v>
      </c>
      <c r="W341" s="56">
        <v>2.4</v>
      </c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</row>
    <row r="342" spans="1:39" x14ac:dyDescent="0.4">
      <c r="A342" s="56"/>
      <c r="B342" s="59"/>
      <c r="C342" s="56"/>
      <c r="D342" s="56"/>
      <c r="E342" s="56"/>
      <c r="F342" s="57"/>
      <c r="G342" s="57"/>
      <c r="H342" s="57"/>
      <c r="I342" s="56"/>
      <c r="J342" s="56"/>
      <c r="K342" s="56"/>
      <c r="L342" s="56" t="s">
        <v>524</v>
      </c>
      <c r="M342" s="56">
        <v>17.2</v>
      </c>
      <c r="N342" s="56">
        <v>1</v>
      </c>
      <c r="O342" s="57">
        <v>17200</v>
      </c>
      <c r="P342" s="56">
        <v>0</v>
      </c>
      <c r="Q342" s="56">
        <v>0</v>
      </c>
      <c r="R342" s="56">
        <v>17.2</v>
      </c>
      <c r="S342" s="56">
        <v>17.2</v>
      </c>
      <c r="T342" s="56">
        <v>0</v>
      </c>
      <c r="U342" s="56">
        <v>0</v>
      </c>
      <c r="V342" s="56">
        <v>17.2</v>
      </c>
      <c r="W342" s="56">
        <v>17.2</v>
      </c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</row>
    <row r="343" spans="1:39" x14ac:dyDescent="0.4">
      <c r="A343" s="56"/>
      <c r="B343" s="59"/>
      <c r="C343" s="56"/>
      <c r="D343" s="56"/>
      <c r="E343" s="56"/>
      <c r="F343" s="57"/>
      <c r="G343" s="57"/>
      <c r="H343" s="57"/>
      <c r="I343" s="56"/>
      <c r="J343" s="56"/>
      <c r="K343" s="56"/>
      <c r="L343" s="56" t="s">
        <v>525</v>
      </c>
      <c r="M343" s="56">
        <v>118.3</v>
      </c>
      <c r="N343" s="56">
        <v>1</v>
      </c>
      <c r="O343" s="57">
        <v>118300</v>
      </c>
      <c r="P343" s="56">
        <v>4.8</v>
      </c>
      <c r="Q343" s="56">
        <v>4.8</v>
      </c>
      <c r="R343" s="56">
        <v>113.5</v>
      </c>
      <c r="S343" s="56">
        <v>113.5</v>
      </c>
      <c r="T343" s="56">
        <v>4.8</v>
      </c>
      <c r="U343" s="56">
        <v>4.8</v>
      </c>
      <c r="V343" s="56">
        <v>113.5</v>
      </c>
      <c r="W343" s="57">
        <v>113.5</v>
      </c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</row>
    <row r="344" spans="1:39" x14ac:dyDescent="0.4">
      <c r="A344" s="56"/>
      <c r="B344" s="59"/>
      <c r="C344" s="56"/>
      <c r="D344" s="56"/>
      <c r="E344" s="56"/>
      <c r="F344" s="57"/>
      <c r="G344" s="57"/>
      <c r="H344" s="57"/>
      <c r="I344" s="56"/>
      <c r="J344" s="56"/>
      <c r="K344" s="56" t="s">
        <v>526</v>
      </c>
      <c r="L344" s="56"/>
      <c r="M344" s="56"/>
      <c r="N344" s="56"/>
      <c r="O344" s="57">
        <v>1530400</v>
      </c>
      <c r="P344" s="56"/>
      <c r="Q344" s="56">
        <v>1073.8</v>
      </c>
      <c r="R344" s="56"/>
      <c r="S344" s="57">
        <v>456.6</v>
      </c>
      <c r="T344" s="56"/>
      <c r="U344" s="58">
        <v>1073.8</v>
      </c>
      <c r="V344" s="56"/>
      <c r="W344" s="56">
        <v>456.6</v>
      </c>
      <c r="X344" s="56"/>
      <c r="Y344" s="56"/>
      <c r="Z344" s="58"/>
      <c r="AA344" s="56"/>
      <c r="AB344" s="56"/>
      <c r="AC344" s="56"/>
      <c r="AD344" s="56"/>
      <c r="AE344" s="56"/>
      <c r="AF344" s="56"/>
      <c r="AG344" s="56"/>
      <c r="AH344" s="56"/>
      <c r="AI344" s="56"/>
    </row>
    <row r="345" spans="1:39" x14ac:dyDescent="0.4">
      <c r="A345" s="56"/>
      <c r="B345" s="59"/>
      <c r="C345" s="56"/>
      <c r="D345" s="56"/>
      <c r="E345" s="56"/>
      <c r="F345" s="57"/>
      <c r="G345" s="57"/>
      <c r="H345" s="57"/>
      <c r="I345" s="56"/>
      <c r="J345" s="56"/>
      <c r="K345" s="56" t="s">
        <v>527</v>
      </c>
      <c r="L345" s="56"/>
      <c r="M345" s="56"/>
      <c r="N345" s="56"/>
      <c r="O345" s="57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</row>
    <row r="346" spans="1:39" x14ac:dyDescent="0.4">
      <c r="A346" s="56"/>
      <c r="B346" s="59"/>
      <c r="C346" s="56"/>
      <c r="D346" s="56"/>
      <c r="E346" s="56"/>
      <c r="F346" s="57"/>
      <c r="G346" s="57"/>
      <c r="H346" s="57"/>
      <c r="I346" s="56"/>
      <c r="J346" s="56"/>
      <c r="K346" s="56"/>
      <c r="L346" s="56" t="s">
        <v>528</v>
      </c>
      <c r="M346" s="56"/>
      <c r="N346" s="56"/>
      <c r="O346" s="57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</row>
    <row r="347" spans="1:39" x14ac:dyDescent="0.4">
      <c r="A347" s="56"/>
      <c r="B347" s="59"/>
      <c r="C347" s="56"/>
      <c r="D347" s="56"/>
      <c r="E347" s="56"/>
      <c r="F347" s="57"/>
      <c r="G347" s="57"/>
      <c r="H347" s="57"/>
      <c r="I347" s="56"/>
      <c r="J347" s="56"/>
      <c r="K347" s="56"/>
      <c r="L347" s="56" t="s">
        <v>529</v>
      </c>
      <c r="M347" s="56">
        <v>19.5</v>
      </c>
      <c r="N347" s="56">
        <v>1</v>
      </c>
      <c r="O347" s="57">
        <v>19500</v>
      </c>
      <c r="P347" s="56">
        <v>0</v>
      </c>
      <c r="Q347" s="56">
        <v>0</v>
      </c>
      <c r="R347" s="56">
        <v>19.5</v>
      </c>
      <c r="S347" s="56">
        <v>19.5</v>
      </c>
      <c r="T347" s="56">
        <v>0</v>
      </c>
      <c r="U347" s="56">
        <v>0</v>
      </c>
      <c r="V347" s="56">
        <v>19.5</v>
      </c>
      <c r="W347" s="57">
        <v>19.5</v>
      </c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</row>
    <row r="348" spans="1:39" x14ac:dyDescent="0.4">
      <c r="A348" s="56"/>
      <c r="B348" s="59"/>
      <c r="C348" s="56"/>
      <c r="D348" s="56"/>
      <c r="E348" s="56"/>
      <c r="F348" s="57"/>
      <c r="G348" s="57"/>
      <c r="H348" s="57"/>
      <c r="I348" s="56"/>
      <c r="J348" s="56"/>
      <c r="K348" s="56"/>
      <c r="L348" s="56" t="s">
        <v>530</v>
      </c>
      <c r="M348" s="56">
        <v>2.1</v>
      </c>
      <c r="N348" s="56">
        <v>1</v>
      </c>
      <c r="O348" s="57">
        <v>2100</v>
      </c>
      <c r="P348" s="56">
        <v>0</v>
      </c>
      <c r="Q348" s="56">
        <v>0</v>
      </c>
      <c r="R348" s="56">
        <v>2.1</v>
      </c>
      <c r="S348" s="56">
        <v>2.1</v>
      </c>
      <c r="T348" s="56">
        <v>0</v>
      </c>
      <c r="U348" s="56">
        <v>0</v>
      </c>
      <c r="V348" s="56">
        <v>2.1</v>
      </c>
      <c r="W348" s="57">
        <v>2.1</v>
      </c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</row>
    <row r="349" spans="1:39" x14ac:dyDescent="0.4">
      <c r="A349" s="56"/>
      <c r="B349" s="59"/>
      <c r="C349" s="56"/>
      <c r="D349" s="56"/>
      <c r="E349" s="56"/>
      <c r="F349" s="57"/>
      <c r="G349" s="57"/>
      <c r="H349" s="57"/>
      <c r="I349" s="56"/>
      <c r="J349" s="56"/>
      <c r="K349" s="56"/>
      <c r="L349" s="56" t="s">
        <v>952</v>
      </c>
      <c r="M349" s="56">
        <v>586</v>
      </c>
      <c r="N349" s="56">
        <v>1</v>
      </c>
      <c r="O349" s="57">
        <v>586000</v>
      </c>
      <c r="P349" s="56">
        <v>0</v>
      </c>
      <c r="Q349" s="56">
        <v>0</v>
      </c>
      <c r="R349" s="56">
        <v>586</v>
      </c>
      <c r="S349" s="56">
        <v>586</v>
      </c>
      <c r="T349" s="56">
        <v>0</v>
      </c>
      <c r="U349" s="56">
        <v>0</v>
      </c>
      <c r="V349" s="56">
        <v>586</v>
      </c>
      <c r="W349" s="57">
        <v>586</v>
      </c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</row>
    <row r="350" spans="1:39" x14ac:dyDescent="0.4">
      <c r="A350" s="56"/>
      <c r="B350" s="59"/>
      <c r="C350" s="56"/>
      <c r="D350" s="56"/>
      <c r="E350" s="56"/>
      <c r="F350" s="57"/>
      <c r="G350" s="57"/>
      <c r="H350" s="57"/>
      <c r="I350" s="56"/>
      <c r="J350" s="56"/>
      <c r="K350" s="56"/>
      <c r="L350" s="56" t="s">
        <v>531</v>
      </c>
      <c r="M350" s="56">
        <v>121</v>
      </c>
      <c r="N350" s="56">
        <v>1</v>
      </c>
      <c r="O350" s="57">
        <v>121000</v>
      </c>
      <c r="P350" s="56">
        <v>0</v>
      </c>
      <c r="Q350" s="56">
        <v>0</v>
      </c>
      <c r="R350" s="56">
        <v>121</v>
      </c>
      <c r="S350" s="56">
        <v>121</v>
      </c>
      <c r="T350" s="56">
        <v>0</v>
      </c>
      <c r="U350" s="56">
        <v>0</v>
      </c>
      <c r="V350" s="56">
        <v>121</v>
      </c>
      <c r="W350" s="56">
        <v>121</v>
      </c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</row>
    <row r="351" spans="1:39" x14ac:dyDescent="0.4">
      <c r="A351" s="56"/>
      <c r="B351" s="59"/>
      <c r="C351" s="56"/>
      <c r="D351" s="56"/>
      <c r="E351" s="56"/>
      <c r="F351" s="57"/>
      <c r="G351" s="57"/>
      <c r="H351" s="57"/>
      <c r="I351" s="56"/>
      <c r="J351" s="56"/>
      <c r="K351" s="56" t="s">
        <v>532</v>
      </c>
      <c r="L351" s="56"/>
      <c r="M351" s="56"/>
      <c r="N351" s="56"/>
      <c r="O351" s="57">
        <v>728600</v>
      </c>
      <c r="P351" s="56"/>
      <c r="Q351" s="56">
        <v>0</v>
      </c>
      <c r="R351" s="56"/>
      <c r="S351" s="56">
        <v>728.6</v>
      </c>
      <c r="T351" s="56"/>
      <c r="U351" s="56">
        <v>0</v>
      </c>
      <c r="V351" s="56"/>
      <c r="W351" s="56">
        <v>728.6</v>
      </c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</row>
    <row r="352" spans="1:39" x14ac:dyDescent="0.4">
      <c r="A352" s="56"/>
      <c r="B352" s="59"/>
      <c r="C352" s="56"/>
      <c r="D352" s="56"/>
      <c r="E352" s="56"/>
      <c r="F352" s="57"/>
      <c r="G352" s="57"/>
      <c r="H352" s="57"/>
      <c r="I352" s="56"/>
      <c r="J352" s="56"/>
      <c r="K352" s="56" t="s">
        <v>533</v>
      </c>
      <c r="L352" s="56"/>
      <c r="M352" s="56"/>
      <c r="N352" s="56"/>
      <c r="O352" s="57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</row>
    <row r="353" spans="1:39" x14ac:dyDescent="0.4">
      <c r="A353" s="56"/>
      <c r="B353" s="59"/>
      <c r="C353" s="56"/>
      <c r="D353" s="56"/>
      <c r="E353" s="56"/>
      <c r="F353" s="57"/>
      <c r="G353" s="57"/>
      <c r="H353" s="57"/>
      <c r="I353" s="56"/>
      <c r="J353" s="56"/>
      <c r="K353" s="56"/>
      <c r="L353" s="56" t="s">
        <v>819</v>
      </c>
      <c r="M353" s="56"/>
      <c r="N353" s="56"/>
      <c r="O353" s="57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</row>
    <row r="354" spans="1:39" x14ac:dyDescent="0.4">
      <c r="A354" s="56"/>
      <c r="B354" s="59"/>
      <c r="C354" s="56"/>
      <c r="D354" s="56"/>
      <c r="E354" s="56"/>
      <c r="F354" s="57"/>
      <c r="G354" s="57"/>
      <c r="H354" s="57"/>
      <c r="I354" s="56"/>
      <c r="J354" s="56"/>
      <c r="K354" s="56"/>
      <c r="L354" s="56" t="s">
        <v>820</v>
      </c>
      <c r="M354" s="56">
        <v>15</v>
      </c>
      <c r="N354" s="56">
        <v>1</v>
      </c>
      <c r="O354" s="57">
        <v>15000</v>
      </c>
      <c r="P354" s="56">
        <v>12</v>
      </c>
      <c r="Q354" s="56">
        <v>12</v>
      </c>
      <c r="R354" s="56">
        <v>3</v>
      </c>
      <c r="S354" s="56">
        <v>3</v>
      </c>
      <c r="T354" s="56">
        <v>12</v>
      </c>
      <c r="U354" s="56">
        <v>12</v>
      </c>
      <c r="V354" s="56">
        <v>3</v>
      </c>
      <c r="W354" s="56">
        <v>3</v>
      </c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</row>
    <row r="355" spans="1:39" x14ac:dyDescent="0.4">
      <c r="A355" s="56"/>
      <c r="B355" s="59"/>
      <c r="C355" s="56"/>
      <c r="D355" s="56"/>
      <c r="E355" s="56"/>
      <c r="F355" s="57"/>
      <c r="G355" s="57"/>
      <c r="H355" s="57"/>
      <c r="I355" s="56"/>
      <c r="J355" s="56" t="s">
        <v>243</v>
      </c>
      <c r="K355" s="56"/>
      <c r="L355" s="56" t="s">
        <v>953</v>
      </c>
      <c r="M355" s="56">
        <v>-15</v>
      </c>
      <c r="N355" s="56">
        <v>1</v>
      </c>
      <c r="O355" s="57">
        <v>-15000</v>
      </c>
      <c r="P355" s="56">
        <v>-12</v>
      </c>
      <c r="Q355" s="56">
        <v>-12</v>
      </c>
      <c r="R355" s="56">
        <v>-3</v>
      </c>
      <c r="S355" s="56">
        <v>-3</v>
      </c>
      <c r="T355" s="56">
        <v>-12</v>
      </c>
      <c r="U355" s="56">
        <v>-12</v>
      </c>
      <c r="V355" s="56">
        <v>-3</v>
      </c>
      <c r="W355" s="56">
        <v>-3</v>
      </c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</row>
    <row r="356" spans="1:39" x14ac:dyDescent="0.4">
      <c r="A356" s="56"/>
      <c r="B356" s="59"/>
      <c r="C356" s="56"/>
      <c r="D356" s="56"/>
      <c r="E356" s="56"/>
      <c r="F356" s="57"/>
      <c r="G356" s="57"/>
      <c r="H356" s="57"/>
      <c r="I356" s="56"/>
      <c r="J356" s="56"/>
      <c r="K356" s="56"/>
      <c r="L356" s="56" t="s">
        <v>821</v>
      </c>
      <c r="M356" s="56">
        <v>14.7</v>
      </c>
      <c r="N356" s="56">
        <v>1</v>
      </c>
      <c r="O356" s="57">
        <v>14700</v>
      </c>
      <c r="P356" s="56">
        <v>12</v>
      </c>
      <c r="Q356" s="56">
        <v>12</v>
      </c>
      <c r="R356" s="56">
        <v>2.7</v>
      </c>
      <c r="S356" s="56">
        <v>2.7</v>
      </c>
      <c r="T356" s="56">
        <v>12</v>
      </c>
      <c r="U356" s="56">
        <v>12</v>
      </c>
      <c r="V356" s="56">
        <v>2.7</v>
      </c>
      <c r="W356" s="56">
        <v>2.7</v>
      </c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</row>
    <row r="357" spans="1:39" x14ac:dyDescent="0.4">
      <c r="A357" s="56"/>
      <c r="B357" s="59"/>
      <c r="C357" s="56"/>
      <c r="D357" s="56"/>
      <c r="E357" s="56"/>
      <c r="F357" s="57"/>
      <c r="G357" s="57"/>
      <c r="H357" s="57"/>
      <c r="I357" s="56"/>
      <c r="J357" s="56"/>
      <c r="K357" s="56"/>
      <c r="L357" s="56" t="s">
        <v>822</v>
      </c>
      <c r="M357" s="56">
        <v>9.9</v>
      </c>
      <c r="N357" s="56">
        <v>1</v>
      </c>
      <c r="O357" s="57">
        <v>9900</v>
      </c>
      <c r="P357" s="56">
        <v>9</v>
      </c>
      <c r="Q357" s="56">
        <v>9</v>
      </c>
      <c r="R357" s="56">
        <v>0.9</v>
      </c>
      <c r="S357" s="56">
        <v>0.9</v>
      </c>
      <c r="T357" s="56">
        <v>9</v>
      </c>
      <c r="U357" s="56">
        <v>9</v>
      </c>
      <c r="V357" s="56">
        <v>0.9</v>
      </c>
      <c r="W357" s="56">
        <v>0.9</v>
      </c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</row>
    <row r="358" spans="1:39" x14ac:dyDescent="0.4">
      <c r="A358" s="56"/>
      <c r="B358" s="59"/>
      <c r="C358" s="56"/>
      <c r="D358" s="56"/>
      <c r="E358" s="56"/>
      <c r="F358" s="57"/>
      <c r="G358" s="57"/>
      <c r="H358" s="57"/>
      <c r="I358" s="56"/>
      <c r="J358" s="56"/>
      <c r="K358" s="56" t="s">
        <v>534</v>
      </c>
      <c r="L358" s="56"/>
      <c r="M358" s="56"/>
      <c r="N358" s="56"/>
      <c r="O358" s="57">
        <v>24600</v>
      </c>
      <c r="P358" s="56"/>
      <c r="Q358" s="56">
        <v>21</v>
      </c>
      <c r="R358" s="56"/>
      <c r="S358" s="56">
        <v>3.6</v>
      </c>
      <c r="T358" s="56"/>
      <c r="U358" s="56">
        <v>21</v>
      </c>
      <c r="V358" s="56"/>
      <c r="W358" s="56">
        <v>3.6</v>
      </c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</row>
    <row r="359" spans="1:39" x14ac:dyDescent="0.4">
      <c r="A359" s="56"/>
      <c r="B359" s="59"/>
      <c r="C359" s="56"/>
      <c r="D359" s="56"/>
      <c r="E359" s="56"/>
      <c r="F359" s="57"/>
      <c r="G359" s="57"/>
      <c r="H359" s="57"/>
      <c r="I359" s="56"/>
      <c r="J359" s="56"/>
      <c r="K359" s="56" t="s">
        <v>535</v>
      </c>
      <c r="L359" s="56"/>
      <c r="M359" s="56"/>
      <c r="N359" s="56"/>
      <c r="O359" s="57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</row>
    <row r="360" spans="1:39" x14ac:dyDescent="0.4">
      <c r="A360" s="56"/>
      <c r="B360" s="59"/>
      <c r="C360" s="56"/>
      <c r="D360" s="56"/>
      <c r="E360" s="56"/>
      <c r="F360" s="57"/>
      <c r="G360" s="57"/>
      <c r="H360" s="57"/>
      <c r="I360" s="56"/>
      <c r="J360" s="56"/>
      <c r="K360" s="56" t="s">
        <v>536</v>
      </c>
      <c r="L360" s="56"/>
      <c r="M360" s="56"/>
      <c r="N360" s="56"/>
      <c r="O360" s="57">
        <v>0</v>
      </c>
      <c r="P360" s="56"/>
      <c r="Q360" s="56">
        <v>0</v>
      </c>
      <c r="R360" s="56"/>
      <c r="S360" s="57">
        <v>0</v>
      </c>
      <c r="T360" s="56"/>
      <c r="U360" s="56">
        <v>0</v>
      </c>
      <c r="V360" s="56"/>
      <c r="W360" s="56">
        <v>0</v>
      </c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</row>
    <row r="361" spans="1:39" x14ac:dyDescent="0.4">
      <c r="A361" s="56"/>
      <c r="B361" s="59"/>
      <c r="C361" s="56"/>
      <c r="D361" s="56"/>
      <c r="E361" s="56"/>
      <c r="F361" s="57"/>
      <c r="G361" s="57"/>
      <c r="H361" s="57"/>
      <c r="I361" s="56"/>
      <c r="J361" s="56"/>
      <c r="K361" s="56" t="s">
        <v>537</v>
      </c>
      <c r="L361" s="56"/>
      <c r="M361" s="56"/>
      <c r="N361" s="56"/>
      <c r="O361" s="57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</row>
    <row r="362" spans="1:39" x14ac:dyDescent="0.4">
      <c r="A362" s="56"/>
      <c r="B362" s="59"/>
      <c r="C362" s="56"/>
      <c r="D362" s="56"/>
      <c r="E362" s="56"/>
      <c r="F362" s="57"/>
      <c r="G362" s="57"/>
      <c r="H362" s="57"/>
      <c r="I362" s="56"/>
      <c r="J362" s="56"/>
      <c r="K362" s="56"/>
      <c r="L362" s="56" t="s">
        <v>538</v>
      </c>
      <c r="M362" s="56"/>
      <c r="N362" s="56"/>
      <c r="O362" s="57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</row>
    <row r="363" spans="1:39" x14ac:dyDescent="0.4">
      <c r="A363" s="56"/>
      <c r="B363" s="59"/>
      <c r="C363" s="56"/>
      <c r="D363" s="56"/>
      <c r="E363" s="56"/>
      <c r="F363" s="57"/>
      <c r="G363" s="57"/>
      <c r="H363" s="57"/>
      <c r="I363" s="56"/>
      <c r="J363" s="56"/>
      <c r="K363" s="56"/>
      <c r="L363" s="56" t="s">
        <v>539</v>
      </c>
      <c r="M363" s="56">
        <v>8</v>
      </c>
      <c r="N363" s="56">
        <v>11</v>
      </c>
      <c r="O363" s="57">
        <v>88000</v>
      </c>
      <c r="P363" s="56">
        <v>8</v>
      </c>
      <c r="Q363" s="56">
        <v>88</v>
      </c>
      <c r="R363" s="56">
        <v>0</v>
      </c>
      <c r="S363" s="56">
        <v>0</v>
      </c>
      <c r="T363" s="56">
        <v>8</v>
      </c>
      <c r="U363" s="56">
        <v>88</v>
      </c>
      <c r="V363" s="56">
        <v>0</v>
      </c>
      <c r="W363" s="56">
        <v>0</v>
      </c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</row>
    <row r="364" spans="1:39" x14ac:dyDescent="0.4">
      <c r="A364" s="56"/>
      <c r="B364" s="59"/>
      <c r="C364" s="56"/>
      <c r="D364" s="56"/>
      <c r="E364" s="56"/>
      <c r="F364" s="57"/>
      <c r="G364" s="57"/>
      <c r="H364" s="57"/>
      <c r="I364" s="56"/>
      <c r="J364" s="56"/>
      <c r="K364" s="56"/>
      <c r="L364" s="56" t="s">
        <v>540</v>
      </c>
      <c r="M364" s="56">
        <v>7</v>
      </c>
      <c r="N364" s="56">
        <v>45</v>
      </c>
      <c r="O364" s="57">
        <v>315000</v>
      </c>
      <c r="P364" s="56">
        <v>6.1</v>
      </c>
      <c r="Q364" s="56">
        <v>274.5</v>
      </c>
      <c r="R364" s="56">
        <v>0.9</v>
      </c>
      <c r="S364" s="56">
        <v>40.5</v>
      </c>
      <c r="T364" s="56">
        <v>6.1</v>
      </c>
      <c r="U364" s="56">
        <v>274.5</v>
      </c>
      <c r="V364" s="56">
        <v>0.9</v>
      </c>
      <c r="W364" s="56">
        <v>40.5</v>
      </c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</row>
    <row r="365" spans="1:39" x14ac:dyDescent="0.4">
      <c r="A365" s="56"/>
      <c r="B365" s="59"/>
      <c r="C365" s="56"/>
      <c r="D365" s="56"/>
      <c r="E365" s="56"/>
      <c r="F365" s="57"/>
      <c r="G365" s="57"/>
      <c r="H365" s="57"/>
      <c r="I365" s="56"/>
      <c r="J365" s="56"/>
      <c r="K365" s="56"/>
      <c r="L365" s="56" t="s">
        <v>541</v>
      </c>
      <c r="M365" s="56">
        <v>90.1</v>
      </c>
      <c r="N365" s="56">
        <v>1</v>
      </c>
      <c r="O365" s="57">
        <v>90100</v>
      </c>
      <c r="P365" s="56">
        <v>37.200000000000003</v>
      </c>
      <c r="Q365" s="56">
        <v>37.200000000000003</v>
      </c>
      <c r="R365" s="56">
        <v>52.9</v>
      </c>
      <c r="S365" s="56">
        <v>52.9</v>
      </c>
      <c r="T365" s="56">
        <v>37.200000000000003</v>
      </c>
      <c r="U365" s="56">
        <v>37.200000000000003</v>
      </c>
      <c r="V365" s="56">
        <v>52.9</v>
      </c>
      <c r="W365" s="57">
        <v>52.9</v>
      </c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</row>
    <row r="366" spans="1:39" x14ac:dyDescent="0.4">
      <c r="A366" s="56"/>
      <c r="B366" s="59"/>
      <c r="C366" s="56"/>
      <c r="D366" s="56"/>
      <c r="E366" s="56"/>
      <c r="F366" s="57"/>
      <c r="G366" s="57"/>
      <c r="H366" s="57"/>
      <c r="I366" s="56"/>
      <c r="J366" s="56"/>
      <c r="K366" s="56"/>
      <c r="L366" s="56" t="s">
        <v>542</v>
      </c>
      <c r="M366" s="56">
        <v>93.3</v>
      </c>
      <c r="N366" s="56">
        <v>1</v>
      </c>
      <c r="O366" s="57">
        <v>93300</v>
      </c>
      <c r="P366" s="56">
        <v>0</v>
      </c>
      <c r="Q366" s="56">
        <v>0</v>
      </c>
      <c r="R366" s="56">
        <v>93.3</v>
      </c>
      <c r="S366" s="56">
        <v>93.3</v>
      </c>
      <c r="T366" s="56">
        <v>0</v>
      </c>
      <c r="U366" s="56">
        <v>0</v>
      </c>
      <c r="V366" s="56">
        <v>93.3</v>
      </c>
      <c r="W366" s="56">
        <v>93.3</v>
      </c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</row>
    <row r="367" spans="1:39" x14ac:dyDescent="0.4">
      <c r="A367" s="56"/>
      <c r="B367" s="59"/>
      <c r="C367" s="56"/>
      <c r="D367" s="56"/>
      <c r="E367" s="56"/>
      <c r="F367" s="57"/>
      <c r="G367" s="57"/>
      <c r="H367" s="57"/>
      <c r="I367" s="56"/>
      <c r="J367" s="56" t="s">
        <v>243</v>
      </c>
      <c r="K367" s="56"/>
      <c r="L367" s="56" t="s">
        <v>936</v>
      </c>
      <c r="M367" s="56">
        <v>-93.3</v>
      </c>
      <c r="N367" s="56">
        <v>1</v>
      </c>
      <c r="O367" s="57">
        <v>-93300</v>
      </c>
      <c r="P367" s="56">
        <v>0</v>
      </c>
      <c r="Q367" s="56">
        <v>0</v>
      </c>
      <c r="R367" s="56">
        <v>-93.3</v>
      </c>
      <c r="S367" s="56">
        <v>-93.3</v>
      </c>
      <c r="T367" s="56">
        <v>0</v>
      </c>
      <c r="U367" s="56">
        <v>0</v>
      </c>
      <c r="V367" s="56">
        <v>-93.3</v>
      </c>
      <c r="W367" s="57">
        <v>-93.3</v>
      </c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</row>
    <row r="368" spans="1:39" x14ac:dyDescent="0.4">
      <c r="A368" s="56"/>
      <c r="B368" s="59"/>
      <c r="C368" s="56"/>
      <c r="D368" s="56"/>
      <c r="E368" s="56"/>
      <c r="F368" s="57"/>
      <c r="G368" s="57"/>
      <c r="H368" s="57"/>
      <c r="I368" s="56"/>
      <c r="J368" s="56"/>
      <c r="K368" s="56"/>
      <c r="L368" s="56" t="s">
        <v>543</v>
      </c>
      <c r="M368" s="56">
        <v>5.2</v>
      </c>
      <c r="N368" s="56">
        <v>5</v>
      </c>
      <c r="O368" s="57">
        <v>26000</v>
      </c>
      <c r="P368" s="56">
        <v>5</v>
      </c>
      <c r="Q368" s="56">
        <v>25</v>
      </c>
      <c r="R368" s="56">
        <v>0.2</v>
      </c>
      <c r="S368" s="56">
        <v>1</v>
      </c>
      <c r="T368" s="56">
        <v>5</v>
      </c>
      <c r="U368" s="56">
        <v>25</v>
      </c>
      <c r="V368" s="56">
        <v>0.2</v>
      </c>
      <c r="W368" s="57">
        <v>1</v>
      </c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</row>
    <row r="369" spans="1:39" x14ac:dyDescent="0.4">
      <c r="A369" s="56"/>
      <c r="B369" s="59"/>
      <c r="C369" s="56"/>
      <c r="D369" s="56"/>
      <c r="E369" s="56"/>
      <c r="F369" s="57"/>
      <c r="G369" s="57"/>
      <c r="H369" s="57"/>
      <c r="I369" s="56"/>
      <c r="J369" s="56"/>
      <c r="K369" s="56"/>
      <c r="L369" s="56" t="s">
        <v>544</v>
      </c>
      <c r="M369" s="56">
        <v>2</v>
      </c>
      <c r="N369" s="56">
        <v>1</v>
      </c>
      <c r="O369" s="57">
        <v>2000</v>
      </c>
      <c r="P369" s="56">
        <v>2</v>
      </c>
      <c r="Q369" s="56">
        <v>2</v>
      </c>
      <c r="R369" s="56">
        <v>0</v>
      </c>
      <c r="S369" s="56">
        <v>0</v>
      </c>
      <c r="T369" s="56">
        <v>2</v>
      </c>
      <c r="U369" s="56">
        <v>2</v>
      </c>
      <c r="V369" s="56">
        <v>0</v>
      </c>
      <c r="W369" s="57">
        <v>0</v>
      </c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</row>
    <row r="370" spans="1:39" x14ac:dyDescent="0.4">
      <c r="A370" s="56"/>
      <c r="B370" s="59"/>
      <c r="C370" s="56"/>
      <c r="D370" s="56"/>
      <c r="E370" s="56"/>
      <c r="F370" s="57"/>
      <c r="G370" s="57"/>
      <c r="H370" s="57"/>
      <c r="I370" s="56"/>
      <c r="J370" s="56"/>
      <c r="K370" s="56"/>
      <c r="L370" s="56" t="s">
        <v>545</v>
      </c>
      <c r="M370" s="56">
        <v>12.3</v>
      </c>
      <c r="N370" s="56">
        <v>3</v>
      </c>
      <c r="O370" s="57">
        <v>36900</v>
      </c>
      <c r="P370" s="56">
        <v>4</v>
      </c>
      <c r="Q370" s="56">
        <v>12</v>
      </c>
      <c r="R370" s="56">
        <v>8.3000000000000007</v>
      </c>
      <c r="S370" s="56">
        <v>24.9</v>
      </c>
      <c r="T370" s="56">
        <v>4</v>
      </c>
      <c r="U370" s="56">
        <v>12</v>
      </c>
      <c r="V370" s="56">
        <v>8.3000000000000007</v>
      </c>
      <c r="W370" s="57">
        <v>24.9</v>
      </c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</row>
    <row r="371" spans="1:39" x14ac:dyDescent="0.4">
      <c r="A371" s="56"/>
      <c r="B371" s="59"/>
      <c r="C371" s="56"/>
      <c r="D371" s="56"/>
      <c r="E371" s="56"/>
      <c r="F371" s="57"/>
      <c r="G371" s="57"/>
      <c r="H371" s="57"/>
      <c r="I371" s="56"/>
      <c r="J371" s="56"/>
      <c r="K371" s="56"/>
      <c r="L371" s="56" t="s">
        <v>546</v>
      </c>
      <c r="M371" s="56"/>
      <c r="N371" s="56"/>
      <c r="O371" s="57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</row>
    <row r="372" spans="1:39" x14ac:dyDescent="0.4">
      <c r="A372" s="56"/>
      <c r="B372" s="59"/>
      <c r="C372" s="56"/>
      <c r="D372" s="56"/>
      <c r="E372" s="56"/>
      <c r="F372" s="57"/>
      <c r="G372" s="57"/>
      <c r="H372" s="57"/>
      <c r="I372" s="56"/>
      <c r="J372" s="56"/>
      <c r="K372" s="56"/>
      <c r="L372" s="56" t="s">
        <v>547</v>
      </c>
      <c r="M372" s="56">
        <v>1.6</v>
      </c>
      <c r="N372" s="56">
        <v>70</v>
      </c>
      <c r="O372" s="57">
        <v>112000</v>
      </c>
      <c r="P372" s="56">
        <v>1.6</v>
      </c>
      <c r="Q372" s="56">
        <v>112</v>
      </c>
      <c r="R372" s="56">
        <v>0</v>
      </c>
      <c r="S372" s="56">
        <v>0</v>
      </c>
      <c r="T372" s="56">
        <v>1.6</v>
      </c>
      <c r="U372" s="56">
        <v>112</v>
      </c>
      <c r="V372" s="56">
        <v>0</v>
      </c>
      <c r="W372" s="57">
        <v>0</v>
      </c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</row>
    <row r="373" spans="1:39" x14ac:dyDescent="0.4">
      <c r="A373" s="56"/>
      <c r="B373" s="59"/>
      <c r="C373" s="56"/>
      <c r="D373" s="56"/>
      <c r="E373" s="56"/>
      <c r="F373" s="57"/>
      <c r="G373" s="57"/>
      <c r="H373" s="57"/>
      <c r="I373" s="56"/>
      <c r="J373" s="56"/>
      <c r="K373" s="56"/>
      <c r="L373" s="56" t="s">
        <v>548</v>
      </c>
      <c r="M373" s="56">
        <v>5.7</v>
      </c>
      <c r="N373" s="56">
        <v>6</v>
      </c>
      <c r="O373" s="57">
        <v>34200</v>
      </c>
      <c r="P373" s="56">
        <v>5.7</v>
      </c>
      <c r="Q373" s="56">
        <v>34.200000000000003</v>
      </c>
      <c r="R373" s="56">
        <v>0</v>
      </c>
      <c r="S373" s="56">
        <v>0</v>
      </c>
      <c r="T373" s="56">
        <v>5.7</v>
      </c>
      <c r="U373" s="56">
        <v>34.200000000000003</v>
      </c>
      <c r="V373" s="56">
        <v>0</v>
      </c>
      <c r="W373" s="56">
        <v>0</v>
      </c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</row>
    <row r="374" spans="1:39" x14ac:dyDescent="0.4">
      <c r="A374" s="56"/>
      <c r="B374" s="59"/>
      <c r="C374" s="56"/>
      <c r="D374" s="56"/>
      <c r="E374" s="56"/>
      <c r="F374" s="57"/>
      <c r="G374" s="57"/>
      <c r="H374" s="57"/>
      <c r="I374" s="56"/>
      <c r="J374" s="56"/>
      <c r="K374" s="56"/>
      <c r="L374" s="56" t="s">
        <v>549</v>
      </c>
      <c r="M374" s="56">
        <v>5.7</v>
      </c>
      <c r="N374" s="56">
        <v>1</v>
      </c>
      <c r="O374" s="57">
        <v>5700</v>
      </c>
      <c r="P374" s="56">
        <v>5.7</v>
      </c>
      <c r="Q374" s="56">
        <v>5.7</v>
      </c>
      <c r="R374" s="56">
        <v>0</v>
      </c>
      <c r="S374" s="56">
        <v>0</v>
      </c>
      <c r="T374" s="56">
        <v>5.7</v>
      </c>
      <c r="U374" s="56">
        <v>5.7</v>
      </c>
      <c r="V374" s="56">
        <v>0</v>
      </c>
      <c r="W374" s="56">
        <v>0</v>
      </c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</row>
    <row r="375" spans="1:39" x14ac:dyDescent="0.4">
      <c r="A375" s="56"/>
      <c r="B375" s="59"/>
      <c r="C375" s="56"/>
      <c r="D375" s="56"/>
      <c r="E375" s="56"/>
      <c r="F375" s="57"/>
      <c r="G375" s="57"/>
      <c r="H375" s="57"/>
      <c r="I375" s="56"/>
      <c r="J375" s="56"/>
      <c r="K375" s="56"/>
      <c r="L375" s="56" t="s">
        <v>550</v>
      </c>
      <c r="M375" s="56">
        <v>13.8</v>
      </c>
      <c r="N375" s="56">
        <v>1</v>
      </c>
      <c r="O375" s="57">
        <v>13800</v>
      </c>
      <c r="P375" s="56">
        <v>13</v>
      </c>
      <c r="Q375" s="56">
        <v>13</v>
      </c>
      <c r="R375" s="56">
        <v>0.8</v>
      </c>
      <c r="S375" s="56">
        <v>0.8</v>
      </c>
      <c r="T375" s="56">
        <v>13</v>
      </c>
      <c r="U375" s="56">
        <v>13</v>
      </c>
      <c r="V375" s="56">
        <v>0.8</v>
      </c>
      <c r="W375" s="57">
        <v>0.8</v>
      </c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</row>
    <row r="376" spans="1:39" x14ac:dyDescent="0.4">
      <c r="A376" s="56"/>
      <c r="B376" s="59"/>
      <c r="C376" s="56"/>
      <c r="D376" s="56"/>
      <c r="E376" s="56"/>
      <c r="F376" s="57"/>
      <c r="G376" s="57"/>
      <c r="H376" s="57"/>
      <c r="I376" s="56"/>
      <c r="J376" s="56"/>
      <c r="K376" s="56"/>
      <c r="L376" s="56" t="s">
        <v>551</v>
      </c>
      <c r="M376" s="56">
        <v>4</v>
      </c>
      <c r="N376" s="56">
        <v>8</v>
      </c>
      <c r="O376" s="57">
        <v>32000</v>
      </c>
      <c r="P376" s="56">
        <v>4</v>
      </c>
      <c r="Q376" s="56">
        <v>32</v>
      </c>
      <c r="R376" s="56">
        <v>0</v>
      </c>
      <c r="S376" s="56">
        <v>0</v>
      </c>
      <c r="T376" s="56">
        <v>4</v>
      </c>
      <c r="U376" s="56">
        <v>32</v>
      </c>
      <c r="V376" s="56">
        <v>0</v>
      </c>
      <c r="W376" s="56">
        <v>0</v>
      </c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</row>
    <row r="377" spans="1:39" x14ac:dyDescent="0.4">
      <c r="A377" s="56"/>
      <c r="B377" s="59"/>
      <c r="C377" s="56"/>
      <c r="D377" s="56"/>
      <c r="E377" s="56"/>
      <c r="F377" s="57"/>
      <c r="G377" s="57"/>
      <c r="H377" s="57"/>
      <c r="I377" s="56"/>
      <c r="J377" s="56"/>
      <c r="K377" s="56"/>
      <c r="L377" s="56" t="s">
        <v>552</v>
      </c>
      <c r="M377" s="56"/>
      <c r="N377" s="56"/>
      <c r="O377" s="57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</row>
    <row r="378" spans="1:39" x14ac:dyDescent="0.4">
      <c r="A378" s="56"/>
      <c r="B378" s="59"/>
      <c r="C378" s="56"/>
      <c r="D378" s="56"/>
      <c r="E378" s="56"/>
      <c r="F378" s="57"/>
      <c r="G378" s="57"/>
      <c r="H378" s="57"/>
      <c r="I378" s="56"/>
      <c r="J378" s="56"/>
      <c r="K378" s="56"/>
      <c r="L378" s="56" t="s">
        <v>954</v>
      </c>
      <c r="M378" s="56">
        <v>58</v>
      </c>
      <c r="N378" s="56">
        <v>1</v>
      </c>
      <c r="O378" s="57">
        <v>58000</v>
      </c>
      <c r="P378" s="56">
        <v>58</v>
      </c>
      <c r="Q378" s="56">
        <v>58</v>
      </c>
      <c r="R378" s="56">
        <v>0</v>
      </c>
      <c r="S378" s="56">
        <v>0</v>
      </c>
      <c r="T378" s="56">
        <v>58</v>
      </c>
      <c r="U378" s="56">
        <v>58</v>
      </c>
      <c r="V378" s="57">
        <v>0</v>
      </c>
      <c r="W378" s="56">
        <v>0</v>
      </c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</row>
    <row r="379" spans="1:39" x14ac:dyDescent="0.4">
      <c r="A379" s="56"/>
      <c r="B379" s="59"/>
      <c r="C379" s="56"/>
      <c r="D379" s="56"/>
      <c r="E379" s="56"/>
      <c r="F379" s="57"/>
      <c r="G379" s="57"/>
      <c r="H379" s="57"/>
      <c r="I379" s="56"/>
      <c r="J379" s="56"/>
      <c r="K379" s="56"/>
      <c r="L379" s="56" t="s">
        <v>823</v>
      </c>
      <c r="M379" s="56">
        <v>2.6</v>
      </c>
      <c r="N379" s="56">
        <v>1</v>
      </c>
      <c r="O379" s="57">
        <v>2600</v>
      </c>
      <c r="P379" s="56">
        <v>1.5</v>
      </c>
      <c r="Q379" s="56">
        <v>1.5</v>
      </c>
      <c r="R379" s="56">
        <v>1.1000000000000001</v>
      </c>
      <c r="S379" s="56">
        <v>1.1000000000000001</v>
      </c>
      <c r="T379" s="56">
        <v>1.5</v>
      </c>
      <c r="U379" s="56">
        <v>1.5</v>
      </c>
      <c r="V379" s="56">
        <v>1.1000000000000001</v>
      </c>
      <c r="W379" s="56">
        <v>1.1000000000000001</v>
      </c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</row>
    <row r="380" spans="1:39" x14ac:dyDescent="0.4">
      <c r="A380" s="56"/>
      <c r="B380" s="59"/>
      <c r="C380" s="56"/>
      <c r="D380" s="56"/>
      <c r="E380" s="56"/>
      <c r="F380" s="57"/>
      <c r="G380" s="57"/>
      <c r="H380" s="57"/>
      <c r="I380" s="56"/>
      <c r="J380" s="56"/>
      <c r="K380" s="56"/>
      <c r="L380" s="56" t="s">
        <v>553</v>
      </c>
      <c r="M380" s="56"/>
      <c r="N380" s="56"/>
      <c r="O380" s="57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</row>
    <row r="381" spans="1:39" x14ac:dyDescent="0.4">
      <c r="A381" s="56"/>
      <c r="B381" s="59"/>
      <c r="C381" s="56"/>
      <c r="D381" s="56"/>
      <c r="E381" s="56"/>
      <c r="F381" s="57"/>
      <c r="G381" s="57"/>
      <c r="H381" s="57"/>
      <c r="I381" s="56"/>
      <c r="J381" s="56"/>
      <c r="K381" s="56"/>
      <c r="L381" s="56" t="s">
        <v>554</v>
      </c>
      <c r="M381" s="56">
        <v>14</v>
      </c>
      <c r="N381" s="56">
        <v>1</v>
      </c>
      <c r="O381" s="57">
        <v>14000</v>
      </c>
      <c r="P381" s="56">
        <v>14</v>
      </c>
      <c r="Q381" s="56">
        <v>14</v>
      </c>
      <c r="R381" s="56">
        <v>0</v>
      </c>
      <c r="S381" s="56">
        <v>0</v>
      </c>
      <c r="T381" s="56">
        <v>14</v>
      </c>
      <c r="U381" s="56">
        <v>14</v>
      </c>
      <c r="V381" s="57">
        <v>0</v>
      </c>
      <c r="W381" s="56">
        <v>0</v>
      </c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</row>
    <row r="382" spans="1:39" x14ac:dyDescent="0.4">
      <c r="A382" s="56"/>
      <c r="B382" s="59"/>
      <c r="C382" s="56"/>
      <c r="D382" s="56"/>
      <c r="E382" s="56"/>
      <c r="F382" s="57"/>
      <c r="G382" s="57"/>
      <c r="H382" s="57"/>
      <c r="I382" s="56"/>
      <c r="J382" s="56"/>
      <c r="K382" s="56"/>
      <c r="L382" s="56" t="s">
        <v>955</v>
      </c>
      <c r="M382" s="56">
        <v>22</v>
      </c>
      <c r="N382" s="56">
        <v>2</v>
      </c>
      <c r="O382" s="57">
        <v>44000</v>
      </c>
      <c r="P382" s="56">
        <v>22</v>
      </c>
      <c r="Q382" s="56">
        <v>44</v>
      </c>
      <c r="R382" s="56">
        <v>0</v>
      </c>
      <c r="S382" s="56">
        <v>0</v>
      </c>
      <c r="T382" s="56">
        <v>22</v>
      </c>
      <c r="U382" s="56">
        <v>44</v>
      </c>
      <c r="V382" s="56">
        <v>0</v>
      </c>
      <c r="W382" s="56">
        <v>0</v>
      </c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</row>
    <row r="383" spans="1:39" x14ac:dyDescent="0.4">
      <c r="A383" s="56"/>
      <c r="B383" s="59"/>
      <c r="C383" s="56"/>
      <c r="D383" s="56"/>
      <c r="E383" s="56"/>
      <c r="F383" s="57"/>
      <c r="G383" s="57"/>
      <c r="H383" s="57"/>
      <c r="I383" s="56"/>
      <c r="J383" s="56"/>
      <c r="K383" s="56"/>
      <c r="L383" s="56" t="s">
        <v>770</v>
      </c>
      <c r="M383" s="56">
        <v>16</v>
      </c>
      <c r="N383" s="56">
        <v>1</v>
      </c>
      <c r="O383" s="57">
        <v>16000</v>
      </c>
      <c r="P383" s="56">
        <v>16</v>
      </c>
      <c r="Q383" s="56">
        <v>16</v>
      </c>
      <c r="R383" s="56">
        <v>0</v>
      </c>
      <c r="S383" s="56">
        <v>0</v>
      </c>
      <c r="T383" s="56">
        <v>16</v>
      </c>
      <c r="U383" s="56">
        <v>16</v>
      </c>
      <c r="V383" s="57">
        <v>0</v>
      </c>
      <c r="W383" s="56">
        <v>0</v>
      </c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</row>
    <row r="384" spans="1:39" x14ac:dyDescent="0.4">
      <c r="A384" s="56"/>
      <c r="B384" s="59"/>
      <c r="C384" s="56"/>
      <c r="D384" s="56"/>
      <c r="E384" s="56"/>
      <c r="F384" s="57"/>
      <c r="G384" s="57"/>
      <c r="H384" s="57"/>
      <c r="I384" s="56"/>
      <c r="J384" s="56"/>
      <c r="K384" s="56"/>
      <c r="L384" s="56" t="s">
        <v>555</v>
      </c>
      <c r="M384" s="56"/>
      <c r="N384" s="56"/>
      <c r="O384" s="57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</row>
    <row r="385" spans="1:39" x14ac:dyDescent="0.4">
      <c r="A385" s="56"/>
      <c r="B385" s="59"/>
      <c r="C385" s="56"/>
      <c r="D385" s="56"/>
      <c r="E385" s="56"/>
      <c r="F385" s="57"/>
      <c r="G385" s="57"/>
      <c r="H385" s="57"/>
      <c r="I385" s="56"/>
      <c r="J385" s="56"/>
      <c r="K385" s="56"/>
      <c r="L385" s="56" t="s">
        <v>556</v>
      </c>
      <c r="M385" s="56">
        <v>26</v>
      </c>
      <c r="N385" s="56">
        <v>4</v>
      </c>
      <c r="O385" s="57">
        <v>104000</v>
      </c>
      <c r="P385" s="56">
        <v>26</v>
      </c>
      <c r="Q385" s="56">
        <v>104</v>
      </c>
      <c r="R385" s="56">
        <v>0</v>
      </c>
      <c r="S385" s="56">
        <v>0</v>
      </c>
      <c r="T385" s="56">
        <v>26</v>
      </c>
      <c r="U385" s="56">
        <v>104</v>
      </c>
      <c r="V385" s="57">
        <v>0</v>
      </c>
      <c r="W385" s="56">
        <v>0</v>
      </c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</row>
    <row r="386" spans="1:39" x14ac:dyDescent="0.4">
      <c r="A386" s="56"/>
      <c r="B386" s="59"/>
      <c r="C386" s="56"/>
      <c r="D386" s="56"/>
      <c r="E386" s="56"/>
      <c r="F386" s="57"/>
      <c r="G386" s="57"/>
      <c r="H386" s="57"/>
      <c r="I386" s="56"/>
      <c r="J386" s="56"/>
      <c r="K386" s="56"/>
      <c r="L386" s="56" t="s">
        <v>557</v>
      </c>
      <c r="M386" s="56">
        <v>6</v>
      </c>
      <c r="N386" s="56">
        <v>2</v>
      </c>
      <c r="O386" s="57">
        <v>12000</v>
      </c>
      <c r="P386" s="56">
        <v>6</v>
      </c>
      <c r="Q386" s="56">
        <v>12</v>
      </c>
      <c r="R386" s="56">
        <v>0</v>
      </c>
      <c r="S386" s="56">
        <v>0</v>
      </c>
      <c r="T386" s="56">
        <v>6</v>
      </c>
      <c r="U386" s="56">
        <v>12</v>
      </c>
      <c r="V386" s="57">
        <v>0</v>
      </c>
      <c r="W386" s="56">
        <v>0</v>
      </c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</row>
    <row r="387" spans="1:39" x14ac:dyDescent="0.4">
      <c r="A387" s="56"/>
      <c r="B387" s="59"/>
      <c r="C387" s="56"/>
      <c r="D387" s="56"/>
      <c r="E387" s="56"/>
      <c r="F387" s="57"/>
      <c r="G387" s="57"/>
      <c r="H387" s="57"/>
      <c r="I387" s="56"/>
      <c r="J387" s="56"/>
      <c r="K387" s="56"/>
      <c r="L387" s="56" t="s">
        <v>956</v>
      </c>
      <c r="M387" s="56">
        <v>3</v>
      </c>
      <c r="N387" s="56">
        <v>2</v>
      </c>
      <c r="O387" s="57">
        <v>6000</v>
      </c>
      <c r="P387" s="56">
        <v>3</v>
      </c>
      <c r="Q387" s="56">
        <v>6</v>
      </c>
      <c r="R387" s="56">
        <v>0</v>
      </c>
      <c r="S387" s="56">
        <v>0</v>
      </c>
      <c r="T387" s="56">
        <v>3</v>
      </c>
      <c r="U387" s="56">
        <v>6</v>
      </c>
      <c r="V387" s="57">
        <v>0</v>
      </c>
      <c r="W387" s="56">
        <v>0</v>
      </c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</row>
    <row r="388" spans="1:39" x14ac:dyDescent="0.4">
      <c r="A388" s="56"/>
      <c r="B388" s="59"/>
      <c r="C388" s="56"/>
      <c r="D388" s="56"/>
      <c r="E388" s="56"/>
      <c r="F388" s="57"/>
      <c r="G388" s="57"/>
      <c r="H388" s="57"/>
      <c r="I388" s="56"/>
      <c r="J388" s="56"/>
      <c r="K388" s="56"/>
      <c r="L388" s="56" t="s">
        <v>558</v>
      </c>
      <c r="M388" s="56"/>
      <c r="N388" s="56"/>
      <c r="O388" s="57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</row>
    <row r="389" spans="1:39" x14ac:dyDescent="0.4">
      <c r="A389" s="56"/>
      <c r="B389" s="59"/>
      <c r="C389" s="56"/>
      <c r="D389" s="56"/>
      <c r="E389" s="56"/>
      <c r="F389" s="57"/>
      <c r="G389" s="57"/>
      <c r="H389" s="57"/>
      <c r="I389" s="56"/>
      <c r="J389" s="56"/>
      <c r="K389" s="56"/>
      <c r="L389" s="56" t="s">
        <v>559</v>
      </c>
      <c r="M389" s="56">
        <v>2.7</v>
      </c>
      <c r="N389" s="56">
        <v>5</v>
      </c>
      <c r="O389" s="57">
        <v>13500</v>
      </c>
      <c r="P389" s="56">
        <v>2</v>
      </c>
      <c r="Q389" s="56">
        <v>10</v>
      </c>
      <c r="R389" s="56">
        <v>0.7</v>
      </c>
      <c r="S389" s="56">
        <v>3.5</v>
      </c>
      <c r="T389" s="56">
        <v>2</v>
      </c>
      <c r="U389" s="56">
        <v>10</v>
      </c>
      <c r="V389" s="56">
        <v>0.7</v>
      </c>
      <c r="W389" s="56">
        <v>3.5</v>
      </c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</row>
    <row r="390" spans="1:39" x14ac:dyDescent="0.4">
      <c r="A390" s="56"/>
      <c r="B390" s="59"/>
      <c r="C390" s="56"/>
      <c r="D390" s="56"/>
      <c r="E390" s="56"/>
      <c r="F390" s="57"/>
      <c r="G390" s="57"/>
      <c r="H390" s="57"/>
      <c r="I390" s="56"/>
      <c r="J390" s="56"/>
      <c r="K390" s="56"/>
      <c r="L390" s="56" t="s">
        <v>560</v>
      </c>
      <c r="M390" s="56">
        <v>2.7</v>
      </c>
      <c r="N390" s="56">
        <v>1</v>
      </c>
      <c r="O390" s="57">
        <v>2700</v>
      </c>
      <c r="P390" s="56">
        <v>2</v>
      </c>
      <c r="Q390" s="56">
        <v>2</v>
      </c>
      <c r="R390" s="56">
        <v>0.7</v>
      </c>
      <c r="S390" s="56">
        <v>0.7</v>
      </c>
      <c r="T390" s="56">
        <v>2</v>
      </c>
      <c r="U390" s="56">
        <v>2</v>
      </c>
      <c r="V390" s="57">
        <v>0.7</v>
      </c>
      <c r="W390" s="56">
        <v>0.7</v>
      </c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</row>
    <row r="391" spans="1:39" x14ac:dyDescent="0.4">
      <c r="A391" s="56"/>
      <c r="B391" s="59"/>
      <c r="C391" s="56"/>
      <c r="D391" s="56"/>
      <c r="E391" s="56"/>
      <c r="F391" s="57"/>
      <c r="G391" s="57"/>
      <c r="H391" s="57"/>
      <c r="I391" s="56"/>
      <c r="J391" s="56"/>
      <c r="K391" s="56"/>
      <c r="L391" s="56" t="s">
        <v>957</v>
      </c>
      <c r="M391" s="56">
        <v>50.7</v>
      </c>
      <c r="N391" s="56">
        <v>1</v>
      </c>
      <c r="O391" s="57">
        <v>50700</v>
      </c>
      <c r="P391" s="56">
        <v>45</v>
      </c>
      <c r="Q391" s="56">
        <v>45</v>
      </c>
      <c r="R391" s="56">
        <v>5.7</v>
      </c>
      <c r="S391" s="56">
        <v>5.7</v>
      </c>
      <c r="T391" s="56">
        <v>45</v>
      </c>
      <c r="U391" s="56">
        <v>45</v>
      </c>
      <c r="V391" s="57">
        <v>5.7</v>
      </c>
      <c r="W391" s="56">
        <v>5.7</v>
      </c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</row>
    <row r="392" spans="1:39" x14ac:dyDescent="0.4">
      <c r="A392" s="56"/>
      <c r="B392" s="59"/>
      <c r="C392" s="56"/>
      <c r="D392" s="56"/>
      <c r="E392" s="56"/>
      <c r="F392" s="57"/>
      <c r="G392" s="57"/>
      <c r="H392" s="57"/>
      <c r="I392" s="56"/>
      <c r="J392" s="56"/>
      <c r="K392" s="56"/>
      <c r="L392" s="56" t="s">
        <v>958</v>
      </c>
      <c r="M392" s="56">
        <v>25.1</v>
      </c>
      <c r="N392" s="56">
        <v>1</v>
      </c>
      <c r="O392" s="57">
        <v>25100</v>
      </c>
      <c r="P392" s="56">
        <v>24</v>
      </c>
      <c r="Q392" s="56">
        <v>24</v>
      </c>
      <c r="R392" s="56">
        <v>1.1000000000000001</v>
      </c>
      <c r="S392" s="56">
        <v>1.1000000000000001</v>
      </c>
      <c r="T392" s="56">
        <v>24</v>
      </c>
      <c r="U392" s="56">
        <v>24</v>
      </c>
      <c r="V392" s="57">
        <v>1.1000000000000001</v>
      </c>
      <c r="W392" s="56">
        <v>1.1000000000000001</v>
      </c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</row>
    <row r="393" spans="1:39" x14ac:dyDescent="0.4">
      <c r="A393" s="56"/>
      <c r="B393" s="59"/>
      <c r="C393" s="56"/>
      <c r="D393" s="56"/>
      <c r="E393" s="56"/>
      <c r="F393" s="57"/>
      <c r="G393" s="57"/>
      <c r="H393" s="57"/>
      <c r="I393" s="56"/>
      <c r="J393" s="56"/>
      <c r="K393" s="56"/>
      <c r="L393" s="56" t="s">
        <v>561</v>
      </c>
      <c r="M393" s="56"/>
      <c r="N393" s="56"/>
      <c r="O393" s="57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</row>
    <row r="394" spans="1:39" x14ac:dyDescent="0.4">
      <c r="A394" s="56"/>
      <c r="B394" s="59"/>
      <c r="C394" s="56"/>
      <c r="D394" s="56"/>
      <c r="E394" s="56"/>
      <c r="F394" s="57"/>
      <c r="G394" s="57"/>
      <c r="H394" s="57"/>
      <c r="I394" s="56"/>
      <c r="J394" s="56" t="s">
        <v>243</v>
      </c>
      <c r="K394" s="56"/>
      <c r="L394" s="56" t="s">
        <v>824</v>
      </c>
      <c r="M394" s="56">
        <v>18</v>
      </c>
      <c r="N394" s="56">
        <v>1</v>
      </c>
      <c r="O394" s="57">
        <v>18000</v>
      </c>
      <c r="P394" s="56">
        <v>0.2</v>
      </c>
      <c r="Q394" s="56">
        <v>0.2</v>
      </c>
      <c r="R394" s="56">
        <v>17.8</v>
      </c>
      <c r="S394" s="58">
        <v>17.8</v>
      </c>
      <c r="T394" s="56">
        <v>0.2</v>
      </c>
      <c r="U394" s="56">
        <v>0.2</v>
      </c>
      <c r="V394" s="57">
        <v>17.8</v>
      </c>
      <c r="W394" s="56">
        <v>17.8</v>
      </c>
      <c r="X394" s="56"/>
      <c r="Y394" s="56"/>
      <c r="Z394" s="58"/>
      <c r="AA394" s="56"/>
      <c r="AB394" s="56"/>
      <c r="AC394" s="56"/>
      <c r="AD394" s="58"/>
      <c r="AE394" s="56"/>
      <c r="AF394" s="56"/>
      <c r="AG394" s="56"/>
      <c r="AH394" s="56"/>
      <c r="AI394" s="56"/>
      <c r="AJ394" s="56"/>
      <c r="AK394" s="56"/>
      <c r="AL394" s="56"/>
      <c r="AM394" s="56"/>
    </row>
    <row r="395" spans="1:39" x14ac:dyDescent="0.4">
      <c r="A395" s="56"/>
      <c r="B395" s="59"/>
      <c r="C395" s="56"/>
      <c r="D395" s="56"/>
      <c r="E395" s="56"/>
      <c r="F395" s="57"/>
      <c r="G395" s="57"/>
      <c r="H395" s="57"/>
      <c r="I395" s="56"/>
      <c r="J395" s="56"/>
      <c r="K395" s="56"/>
      <c r="L395" s="56" t="s">
        <v>562</v>
      </c>
      <c r="M395" s="56"/>
      <c r="N395" s="56"/>
      <c r="O395" s="57"/>
      <c r="P395" s="58"/>
      <c r="Q395" s="56"/>
      <c r="R395" s="56"/>
      <c r="S395" s="56"/>
      <c r="T395" s="58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</row>
    <row r="396" spans="1:39" x14ac:dyDescent="0.4">
      <c r="A396" s="56"/>
      <c r="B396" s="59"/>
      <c r="C396" s="56"/>
      <c r="D396" s="56"/>
      <c r="E396" s="56"/>
      <c r="F396" s="57"/>
      <c r="G396" s="57"/>
      <c r="H396" s="57"/>
      <c r="I396" s="56"/>
      <c r="J396" s="56"/>
      <c r="K396" s="56"/>
      <c r="L396" s="56" t="s">
        <v>563</v>
      </c>
      <c r="M396" s="56">
        <v>17</v>
      </c>
      <c r="N396" s="56">
        <v>1</v>
      </c>
      <c r="O396" s="57">
        <v>17000</v>
      </c>
      <c r="P396" s="56">
        <v>0</v>
      </c>
      <c r="Q396" s="56">
        <v>0</v>
      </c>
      <c r="R396" s="56">
        <v>17</v>
      </c>
      <c r="S396" s="56">
        <v>17</v>
      </c>
      <c r="T396" s="56">
        <v>0</v>
      </c>
      <c r="U396" s="56">
        <v>0</v>
      </c>
      <c r="V396" s="56">
        <v>17</v>
      </c>
      <c r="W396" s="56">
        <v>17</v>
      </c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</row>
    <row r="397" spans="1:39" x14ac:dyDescent="0.4">
      <c r="A397" s="56"/>
      <c r="B397" s="59"/>
      <c r="C397" s="56"/>
      <c r="D397" s="56"/>
      <c r="E397" s="56"/>
      <c r="F397" s="57"/>
      <c r="G397" s="57"/>
      <c r="H397" s="57"/>
      <c r="I397" s="56"/>
      <c r="J397" s="56"/>
      <c r="K397" s="56"/>
      <c r="L397" s="56" t="s">
        <v>825</v>
      </c>
      <c r="M397" s="56">
        <v>85</v>
      </c>
      <c r="N397" s="56">
        <v>1</v>
      </c>
      <c r="O397" s="57">
        <v>85000</v>
      </c>
      <c r="P397" s="56">
        <v>0</v>
      </c>
      <c r="Q397" s="56">
        <v>0</v>
      </c>
      <c r="R397" s="56">
        <v>85</v>
      </c>
      <c r="S397" s="56">
        <v>85</v>
      </c>
      <c r="T397" s="56">
        <v>0</v>
      </c>
      <c r="U397" s="56">
        <v>0</v>
      </c>
      <c r="V397" s="56">
        <v>85</v>
      </c>
      <c r="W397" s="56">
        <v>85</v>
      </c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</row>
    <row r="398" spans="1:39" x14ac:dyDescent="0.4">
      <c r="A398" s="56"/>
      <c r="B398" s="59"/>
      <c r="C398" s="56"/>
      <c r="D398" s="56"/>
      <c r="E398" s="56"/>
      <c r="F398" s="57"/>
      <c r="G398" s="57"/>
      <c r="H398" s="57"/>
      <c r="I398" s="56"/>
      <c r="J398" s="56"/>
      <c r="K398" s="56"/>
      <c r="L398" s="56" t="s">
        <v>826</v>
      </c>
      <c r="M398" s="56">
        <v>5</v>
      </c>
      <c r="N398" s="56">
        <v>2</v>
      </c>
      <c r="O398" s="57">
        <v>10000</v>
      </c>
      <c r="P398" s="56">
        <v>0</v>
      </c>
      <c r="Q398" s="56">
        <v>0</v>
      </c>
      <c r="R398" s="56">
        <v>5</v>
      </c>
      <c r="S398" s="56">
        <v>10</v>
      </c>
      <c r="T398" s="56">
        <v>0</v>
      </c>
      <c r="U398" s="56">
        <v>0</v>
      </c>
      <c r="V398" s="57">
        <v>5</v>
      </c>
      <c r="W398" s="56">
        <v>10</v>
      </c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</row>
    <row r="399" spans="1:39" x14ac:dyDescent="0.4">
      <c r="A399" s="56"/>
      <c r="B399" s="59"/>
      <c r="C399" s="56"/>
      <c r="D399" s="56"/>
      <c r="E399" s="56"/>
      <c r="F399" s="57"/>
      <c r="G399" s="57"/>
      <c r="H399" s="57"/>
      <c r="I399" s="56"/>
      <c r="J399" s="56"/>
      <c r="K399" s="56"/>
      <c r="L399" s="56" t="s">
        <v>564</v>
      </c>
      <c r="M399" s="56">
        <v>5</v>
      </c>
      <c r="N399" s="56">
        <v>1</v>
      </c>
      <c r="O399" s="57">
        <v>5000</v>
      </c>
      <c r="P399" s="56">
        <v>5</v>
      </c>
      <c r="Q399" s="56">
        <v>5</v>
      </c>
      <c r="R399" s="56">
        <v>0</v>
      </c>
      <c r="S399" s="56">
        <v>0</v>
      </c>
      <c r="T399" s="56">
        <v>5</v>
      </c>
      <c r="U399" s="56">
        <v>5</v>
      </c>
      <c r="V399" s="57">
        <v>0</v>
      </c>
      <c r="W399" s="56">
        <v>0</v>
      </c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</row>
    <row r="400" spans="1:39" x14ac:dyDescent="0.4">
      <c r="A400" s="56"/>
      <c r="B400" s="59"/>
      <c r="C400" s="56"/>
      <c r="D400" s="56"/>
      <c r="E400" s="56"/>
      <c r="F400" s="57"/>
      <c r="G400" s="57"/>
      <c r="H400" s="57"/>
      <c r="I400" s="56"/>
      <c r="J400" s="56" t="s">
        <v>243</v>
      </c>
      <c r="K400" s="56"/>
      <c r="L400" s="56" t="s">
        <v>565</v>
      </c>
      <c r="M400" s="56">
        <v>18</v>
      </c>
      <c r="N400" s="56">
        <v>6</v>
      </c>
      <c r="O400" s="57">
        <v>108000</v>
      </c>
      <c r="P400" s="56">
        <v>0</v>
      </c>
      <c r="Q400" s="56">
        <v>0</v>
      </c>
      <c r="R400" s="56">
        <v>18</v>
      </c>
      <c r="S400" s="56">
        <v>108</v>
      </c>
      <c r="T400" s="56">
        <v>0</v>
      </c>
      <c r="U400" s="56">
        <v>0</v>
      </c>
      <c r="V400" s="56">
        <v>18</v>
      </c>
      <c r="W400" s="56">
        <v>108</v>
      </c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</row>
    <row r="401" spans="1:39" x14ac:dyDescent="0.4">
      <c r="A401" s="56"/>
      <c r="B401" s="59"/>
      <c r="C401" s="56"/>
      <c r="D401" s="56"/>
      <c r="E401" s="56"/>
      <c r="F401" s="57"/>
      <c r="G401" s="57"/>
      <c r="H401" s="57"/>
      <c r="I401" s="56"/>
      <c r="J401" s="56"/>
      <c r="K401" s="56"/>
      <c r="L401" s="56" t="s">
        <v>566</v>
      </c>
      <c r="M401" s="56">
        <v>108.3</v>
      </c>
      <c r="N401" s="56">
        <v>1</v>
      </c>
      <c r="O401" s="57">
        <v>108300</v>
      </c>
      <c r="P401" s="56">
        <v>0</v>
      </c>
      <c r="Q401" s="56">
        <v>0</v>
      </c>
      <c r="R401" s="56">
        <v>108.3</v>
      </c>
      <c r="S401" s="56">
        <v>108.3</v>
      </c>
      <c r="T401" s="56">
        <v>0</v>
      </c>
      <c r="U401" s="56">
        <v>0</v>
      </c>
      <c r="V401" s="57">
        <v>108.3</v>
      </c>
      <c r="W401" s="56">
        <v>108.3</v>
      </c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</row>
    <row r="402" spans="1:39" x14ac:dyDescent="0.4">
      <c r="A402" s="56"/>
      <c r="B402" s="59"/>
      <c r="C402" s="56"/>
      <c r="D402" s="56"/>
      <c r="E402" s="56"/>
      <c r="F402" s="57"/>
      <c r="G402" s="57"/>
      <c r="H402" s="57"/>
      <c r="I402" s="56"/>
      <c r="J402" s="56"/>
      <c r="K402" s="56" t="s">
        <v>567</v>
      </c>
      <c r="L402" s="56"/>
      <c r="M402" s="56"/>
      <c r="N402" s="56"/>
      <c r="O402" s="57">
        <v>1455600</v>
      </c>
      <c r="P402" s="56"/>
      <c r="Q402" s="56">
        <v>977.3</v>
      </c>
      <c r="R402" s="56"/>
      <c r="S402" s="56">
        <v>478.3</v>
      </c>
      <c r="T402" s="56"/>
      <c r="U402" s="56">
        <v>977.3</v>
      </c>
      <c r="V402" s="56"/>
      <c r="W402" s="56">
        <v>478.3</v>
      </c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</row>
    <row r="403" spans="1:39" x14ac:dyDescent="0.4">
      <c r="A403" s="56"/>
      <c r="B403" s="59"/>
      <c r="C403" s="56"/>
      <c r="D403" s="56"/>
      <c r="E403" s="56"/>
      <c r="F403" s="57"/>
      <c r="G403" s="57"/>
      <c r="H403" s="57"/>
      <c r="I403" s="56"/>
      <c r="J403" s="56"/>
      <c r="K403" s="56" t="s">
        <v>568</v>
      </c>
      <c r="L403" s="56"/>
      <c r="M403" s="56"/>
      <c r="N403" s="56"/>
      <c r="O403" s="57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</row>
    <row r="404" spans="1:39" x14ac:dyDescent="0.4">
      <c r="A404" s="56"/>
      <c r="B404" s="59"/>
      <c r="C404" s="56"/>
      <c r="D404" s="56"/>
      <c r="E404" s="56"/>
      <c r="F404" s="57"/>
      <c r="G404" s="57"/>
      <c r="H404" s="57"/>
      <c r="I404" s="56"/>
      <c r="J404" s="56"/>
      <c r="K404" s="56" t="s">
        <v>569</v>
      </c>
      <c r="L404" s="56"/>
      <c r="M404" s="56"/>
      <c r="N404" s="56"/>
      <c r="O404" s="57">
        <v>0</v>
      </c>
      <c r="P404" s="56"/>
      <c r="Q404" s="56">
        <v>0</v>
      </c>
      <c r="R404" s="56"/>
      <c r="S404" s="56">
        <v>0</v>
      </c>
      <c r="T404" s="56"/>
      <c r="U404" s="56">
        <v>0</v>
      </c>
      <c r="V404" s="56"/>
      <c r="W404" s="56">
        <v>0</v>
      </c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</row>
    <row r="405" spans="1:39" x14ac:dyDescent="0.4">
      <c r="A405" s="56"/>
      <c r="B405" s="59"/>
      <c r="C405" s="56"/>
      <c r="D405" s="56"/>
      <c r="E405" s="56"/>
      <c r="F405" s="57"/>
      <c r="G405" s="57"/>
      <c r="H405" s="57"/>
      <c r="I405" s="56"/>
      <c r="J405" s="56"/>
      <c r="K405" s="56" t="s">
        <v>570</v>
      </c>
      <c r="L405" s="56"/>
      <c r="M405" s="56"/>
      <c r="N405" s="56"/>
      <c r="O405" s="57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</row>
    <row r="406" spans="1:39" x14ac:dyDescent="0.4">
      <c r="A406" s="56"/>
      <c r="B406" s="59"/>
      <c r="C406" s="56"/>
      <c r="D406" s="56"/>
      <c r="E406" s="56"/>
      <c r="F406" s="57"/>
      <c r="G406" s="57"/>
      <c r="H406" s="57"/>
      <c r="I406" s="56"/>
      <c r="J406" s="56"/>
      <c r="K406" s="56" t="s">
        <v>571</v>
      </c>
      <c r="L406" s="56"/>
      <c r="M406" s="56"/>
      <c r="N406" s="56"/>
      <c r="O406" s="57">
        <v>0</v>
      </c>
      <c r="P406" s="56"/>
      <c r="Q406" s="56">
        <v>0</v>
      </c>
      <c r="R406" s="56"/>
      <c r="S406" s="56">
        <v>0</v>
      </c>
      <c r="T406" s="56"/>
      <c r="U406" s="56">
        <v>0</v>
      </c>
      <c r="V406" s="56"/>
      <c r="W406" s="56">
        <v>0</v>
      </c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</row>
    <row r="407" spans="1:39" x14ac:dyDescent="0.4">
      <c r="A407" s="56"/>
      <c r="B407" s="59"/>
      <c r="C407" s="56"/>
      <c r="D407" s="56"/>
      <c r="E407" s="56"/>
      <c r="F407" s="57"/>
      <c r="G407" s="57"/>
      <c r="H407" s="57"/>
      <c r="I407" s="56"/>
      <c r="J407" s="56"/>
      <c r="K407" s="56" t="s">
        <v>572</v>
      </c>
      <c r="L407" s="56"/>
      <c r="M407" s="56"/>
      <c r="N407" s="56"/>
      <c r="O407" s="57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</row>
    <row r="408" spans="1:39" x14ac:dyDescent="0.4">
      <c r="A408" s="56"/>
      <c r="B408" s="59"/>
      <c r="C408" s="56"/>
      <c r="D408" s="56"/>
      <c r="E408" s="56"/>
      <c r="F408" s="57"/>
      <c r="G408" s="57"/>
      <c r="H408" s="57"/>
      <c r="I408" s="56"/>
      <c r="J408" s="56"/>
      <c r="K408" s="56" t="s">
        <v>573</v>
      </c>
      <c r="L408" s="56"/>
      <c r="M408" s="56"/>
      <c r="N408" s="56"/>
      <c r="O408" s="57">
        <v>0</v>
      </c>
      <c r="P408" s="56"/>
      <c r="Q408" s="56">
        <v>0</v>
      </c>
      <c r="R408" s="56"/>
      <c r="S408" s="56">
        <v>0</v>
      </c>
      <c r="T408" s="56"/>
      <c r="U408" s="56">
        <v>0</v>
      </c>
      <c r="V408" s="56"/>
      <c r="W408" s="56">
        <v>0</v>
      </c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</row>
    <row r="409" spans="1:39" x14ac:dyDescent="0.4">
      <c r="A409" s="56"/>
      <c r="B409" s="59"/>
      <c r="C409" s="56"/>
      <c r="D409" s="56"/>
      <c r="E409" s="56"/>
      <c r="F409" s="57"/>
      <c r="G409" s="57"/>
      <c r="H409" s="57"/>
      <c r="I409" s="56"/>
      <c r="J409" s="56"/>
      <c r="K409" s="56" t="s">
        <v>574</v>
      </c>
      <c r="L409" s="56"/>
      <c r="M409" s="56"/>
      <c r="N409" s="56"/>
      <c r="O409" s="57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</row>
    <row r="410" spans="1:39" x14ac:dyDescent="0.4">
      <c r="A410" s="56"/>
      <c r="B410" s="59"/>
      <c r="C410" s="56"/>
      <c r="D410" s="56"/>
      <c r="E410" s="56"/>
      <c r="F410" s="57"/>
      <c r="G410" s="57"/>
      <c r="H410" s="57"/>
      <c r="I410" s="56"/>
      <c r="J410" s="56"/>
      <c r="K410" s="56" t="s">
        <v>575</v>
      </c>
      <c r="L410" s="56"/>
      <c r="M410" s="56"/>
      <c r="N410" s="56"/>
      <c r="O410" s="57">
        <v>0</v>
      </c>
      <c r="P410" s="56"/>
      <c r="Q410" s="56">
        <v>0</v>
      </c>
      <c r="R410" s="56"/>
      <c r="S410" s="56">
        <v>0</v>
      </c>
      <c r="T410" s="56"/>
      <c r="U410" s="56">
        <v>0</v>
      </c>
      <c r="V410" s="56"/>
      <c r="W410" s="56">
        <v>0</v>
      </c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</row>
    <row r="411" spans="1:39" x14ac:dyDescent="0.4">
      <c r="A411" s="56"/>
      <c r="B411" s="59"/>
      <c r="C411" s="56"/>
      <c r="D411" s="56"/>
      <c r="E411" s="56"/>
      <c r="F411" s="57"/>
      <c r="G411" s="57"/>
      <c r="H411" s="57"/>
      <c r="I411" s="56"/>
      <c r="J411" s="56"/>
      <c r="K411" s="56" t="s">
        <v>576</v>
      </c>
      <c r="L411" s="56"/>
      <c r="M411" s="56"/>
      <c r="N411" s="56"/>
      <c r="O411" s="57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</row>
    <row r="412" spans="1:39" x14ac:dyDescent="0.4">
      <c r="A412" s="56"/>
      <c r="B412" s="59"/>
      <c r="C412" s="56"/>
      <c r="D412" s="56"/>
      <c r="E412" s="56"/>
      <c r="F412" s="57"/>
      <c r="G412" s="57"/>
      <c r="H412" s="57"/>
      <c r="I412" s="56"/>
      <c r="J412" s="56"/>
      <c r="K412" s="56"/>
      <c r="L412" s="56" t="s">
        <v>959</v>
      </c>
      <c r="M412" s="56"/>
      <c r="N412" s="56"/>
      <c r="O412" s="57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</row>
    <row r="413" spans="1:39" x14ac:dyDescent="0.4">
      <c r="A413" s="56"/>
      <c r="B413" s="59"/>
      <c r="C413" s="56"/>
      <c r="D413" s="56"/>
      <c r="E413" s="56"/>
      <c r="F413" s="57"/>
      <c r="G413" s="57"/>
      <c r="H413" s="57"/>
      <c r="I413" s="56"/>
      <c r="J413" s="56"/>
      <c r="K413" s="56"/>
      <c r="L413" s="56" t="s">
        <v>960</v>
      </c>
      <c r="M413" s="56">
        <v>257.60000000000002</v>
      </c>
      <c r="N413" s="56">
        <v>1</v>
      </c>
      <c r="O413" s="57">
        <v>257600</v>
      </c>
      <c r="P413" s="56">
        <v>196.6</v>
      </c>
      <c r="Q413" s="56">
        <v>196.6</v>
      </c>
      <c r="R413" s="56">
        <v>61</v>
      </c>
      <c r="S413" s="56">
        <v>61</v>
      </c>
      <c r="T413" s="56">
        <v>259.60000000000002</v>
      </c>
      <c r="U413" s="56">
        <v>259.60000000000002</v>
      </c>
      <c r="V413" s="57">
        <v>61</v>
      </c>
      <c r="W413" s="56">
        <v>61</v>
      </c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</row>
    <row r="414" spans="1:39" x14ac:dyDescent="0.4">
      <c r="A414" s="56"/>
      <c r="B414" s="59"/>
      <c r="C414" s="56"/>
      <c r="D414" s="56"/>
      <c r="E414" s="56"/>
      <c r="F414" s="57"/>
      <c r="G414" s="57"/>
      <c r="H414" s="57"/>
      <c r="I414" s="56"/>
      <c r="J414" s="56"/>
      <c r="K414" s="56"/>
      <c r="L414" s="56" t="s">
        <v>961</v>
      </c>
      <c r="M414" s="56">
        <v>8.6</v>
      </c>
      <c r="N414" s="56">
        <v>4</v>
      </c>
      <c r="O414" s="57">
        <v>34400</v>
      </c>
      <c r="P414" s="56">
        <v>5.2</v>
      </c>
      <c r="Q414" s="56">
        <v>20.8</v>
      </c>
      <c r="R414" s="56">
        <v>3.4</v>
      </c>
      <c r="S414" s="56">
        <v>13.6</v>
      </c>
      <c r="T414" s="56">
        <v>8.1999999999999993</v>
      </c>
      <c r="U414" s="56">
        <v>32.799999999999997</v>
      </c>
      <c r="V414" s="57">
        <v>3.4</v>
      </c>
      <c r="W414" s="56">
        <v>13.6</v>
      </c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</row>
    <row r="415" spans="1:39" x14ac:dyDescent="0.4">
      <c r="A415" s="56"/>
      <c r="B415" s="59"/>
      <c r="C415" s="56"/>
      <c r="D415" s="56"/>
      <c r="E415" s="56"/>
      <c r="F415" s="57"/>
      <c r="G415" s="57"/>
      <c r="H415" s="57"/>
      <c r="I415" s="56"/>
      <c r="J415" s="56"/>
      <c r="K415" s="56" t="s">
        <v>577</v>
      </c>
      <c r="L415" s="56"/>
      <c r="M415" s="56"/>
      <c r="N415" s="56"/>
      <c r="O415" s="57">
        <v>292000</v>
      </c>
      <c r="P415" s="56"/>
      <c r="Q415" s="56">
        <v>217.4</v>
      </c>
      <c r="R415" s="56"/>
      <c r="S415" s="56">
        <v>74.599999999999994</v>
      </c>
      <c r="T415" s="56"/>
      <c r="U415" s="56">
        <v>292.39999999999998</v>
      </c>
      <c r="V415" s="56"/>
      <c r="W415" s="56">
        <v>74.599999999999994</v>
      </c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</row>
    <row r="416" spans="1:39" x14ac:dyDescent="0.4">
      <c r="A416" s="56"/>
      <c r="B416" s="59"/>
      <c r="C416" s="56"/>
      <c r="D416" s="56"/>
      <c r="E416" s="56"/>
      <c r="F416" s="57"/>
      <c r="G416" s="57"/>
      <c r="H416" s="57"/>
      <c r="I416" s="56"/>
      <c r="J416" s="56"/>
      <c r="K416" s="56" t="s">
        <v>578</v>
      </c>
      <c r="L416" s="56"/>
      <c r="M416" s="56"/>
      <c r="N416" s="56"/>
      <c r="O416" s="57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</row>
    <row r="417" spans="1:39" x14ac:dyDescent="0.4">
      <c r="A417" s="56"/>
      <c r="B417" s="59"/>
      <c r="C417" s="56"/>
      <c r="D417" s="56"/>
      <c r="E417" s="56"/>
      <c r="F417" s="57"/>
      <c r="G417" s="57"/>
      <c r="H417" s="57"/>
      <c r="I417" s="56"/>
      <c r="J417" s="56"/>
      <c r="K417" s="56"/>
      <c r="L417" s="56" t="s">
        <v>962</v>
      </c>
      <c r="M417" s="56"/>
      <c r="N417" s="56"/>
      <c r="O417" s="57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</row>
    <row r="418" spans="1:39" x14ac:dyDescent="0.4">
      <c r="A418" s="56"/>
      <c r="B418" s="59"/>
      <c r="C418" s="56"/>
      <c r="D418" s="56"/>
      <c r="E418" s="56"/>
      <c r="F418" s="57"/>
      <c r="G418" s="57"/>
      <c r="H418" s="57"/>
      <c r="I418" s="56"/>
      <c r="J418" s="56"/>
      <c r="K418" s="56"/>
      <c r="L418" s="56" t="s">
        <v>963</v>
      </c>
      <c r="M418" s="56">
        <v>538.29999999999995</v>
      </c>
      <c r="N418" s="56">
        <v>1</v>
      </c>
      <c r="O418" s="57">
        <v>538300</v>
      </c>
      <c r="P418" s="56">
        <v>403.6</v>
      </c>
      <c r="Q418" s="56">
        <v>403.6</v>
      </c>
      <c r="R418" s="56">
        <v>134.69999999999999</v>
      </c>
      <c r="S418" s="56">
        <v>134.69999999999999</v>
      </c>
      <c r="T418" s="56">
        <v>403.7</v>
      </c>
      <c r="U418" s="56">
        <v>403.7</v>
      </c>
      <c r="V418" s="56">
        <v>134.69999999999999</v>
      </c>
      <c r="W418" s="56">
        <v>134.69999999999999</v>
      </c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</row>
    <row r="419" spans="1:39" x14ac:dyDescent="0.4">
      <c r="A419" s="56"/>
      <c r="B419" s="59"/>
      <c r="C419" s="56"/>
      <c r="D419" s="56"/>
      <c r="E419" s="56"/>
      <c r="F419" s="57"/>
      <c r="G419" s="57"/>
      <c r="H419" s="57"/>
      <c r="I419" s="56"/>
      <c r="J419" s="56"/>
      <c r="K419" s="56"/>
      <c r="L419" s="56" t="s">
        <v>579</v>
      </c>
      <c r="M419" s="56"/>
      <c r="N419" s="56"/>
      <c r="O419" s="57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</row>
    <row r="420" spans="1:39" x14ac:dyDescent="0.4">
      <c r="A420" s="56"/>
      <c r="B420" s="59"/>
      <c r="C420" s="56"/>
      <c r="D420" s="56"/>
      <c r="E420" s="56"/>
      <c r="F420" s="57"/>
      <c r="G420" s="57"/>
      <c r="H420" s="57"/>
      <c r="I420" s="56"/>
      <c r="J420" s="56"/>
      <c r="K420" s="56"/>
      <c r="L420" s="56" t="s">
        <v>964</v>
      </c>
      <c r="M420" s="56">
        <v>8.6999999999999993</v>
      </c>
      <c r="N420" s="56">
        <v>1</v>
      </c>
      <c r="O420" s="57">
        <v>8700</v>
      </c>
      <c r="P420" s="56">
        <v>7</v>
      </c>
      <c r="Q420" s="56">
        <v>7</v>
      </c>
      <c r="R420" s="56">
        <v>1.7</v>
      </c>
      <c r="S420" s="56">
        <v>1.7</v>
      </c>
      <c r="T420" s="56">
        <v>11</v>
      </c>
      <c r="U420" s="56">
        <v>11</v>
      </c>
      <c r="V420" s="57">
        <v>1.7</v>
      </c>
      <c r="W420" s="56">
        <v>1.7</v>
      </c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</row>
    <row r="421" spans="1:39" x14ac:dyDescent="0.4">
      <c r="A421" s="56"/>
      <c r="B421" s="59"/>
      <c r="C421" s="56"/>
      <c r="D421" s="56"/>
      <c r="E421" s="56"/>
      <c r="F421" s="57"/>
      <c r="G421" s="57"/>
      <c r="H421" s="57"/>
      <c r="I421" s="56"/>
      <c r="J421" s="56"/>
      <c r="K421" s="56"/>
      <c r="L421" s="56" t="s">
        <v>965</v>
      </c>
      <c r="M421" s="56">
        <v>3.9</v>
      </c>
      <c r="N421" s="56">
        <v>6</v>
      </c>
      <c r="O421" s="57">
        <v>23400</v>
      </c>
      <c r="P421" s="56">
        <v>2.9</v>
      </c>
      <c r="Q421" s="56">
        <v>17.399999999999999</v>
      </c>
      <c r="R421" s="56">
        <v>1</v>
      </c>
      <c r="S421" s="56">
        <v>6</v>
      </c>
      <c r="T421" s="56">
        <v>4.4000000000000004</v>
      </c>
      <c r="U421" s="56">
        <v>26.4</v>
      </c>
      <c r="V421" s="56">
        <v>1</v>
      </c>
      <c r="W421" s="56">
        <v>6</v>
      </c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</row>
    <row r="422" spans="1:39" x14ac:dyDescent="0.4">
      <c r="A422" s="56"/>
      <c r="B422" s="59"/>
      <c r="C422" s="56"/>
      <c r="D422" s="56"/>
      <c r="E422" s="56"/>
      <c r="F422" s="57"/>
      <c r="G422" s="57"/>
      <c r="H422" s="57"/>
      <c r="I422" s="56"/>
      <c r="J422" s="56"/>
      <c r="K422" s="56"/>
      <c r="L422" s="56" t="s">
        <v>966</v>
      </c>
      <c r="M422" s="56">
        <v>6.3</v>
      </c>
      <c r="N422" s="56">
        <v>4</v>
      </c>
      <c r="O422" s="57">
        <v>25200</v>
      </c>
      <c r="P422" s="56">
        <v>4.0999999999999996</v>
      </c>
      <c r="Q422" s="56">
        <v>16.399999999999999</v>
      </c>
      <c r="R422" s="56">
        <v>2.2000000000000002</v>
      </c>
      <c r="S422" s="56">
        <v>8.8000000000000007</v>
      </c>
      <c r="T422" s="56">
        <v>5.7</v>
      </c>
      <c r="U422" s="56">
        <v>22.8</v>
      </c>
      <c r="V422" s="57">
        <v>2.2000000000000002</v>
      </c>
      <c r="W422" s="56">
        <v>8.8000000000000007</v>
      </c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</row>
    <row r="423" spans="1:39" x14ac:dyDescent="0.4">
      <c r="A423" s="56"/>
      <c r="B423" s="59"/>
      <c r="C423" s="56"/>
      <c r="D423" s="56"/>
      <c r="E423" s="56"/>
      <c r="F423" s="57"/>
      <c r="G423" s="57"/>
      <c r="H423" s="57"/>
      <c r="I423" s="56"/>
      <c r="J423" s="56"/>
      <c r="K423" s="56"/>
      <c r="L423" s="56" t="s">
        <v>967</v>
      </c>
      <c r="M423" s="56">
        <v>6.2</v>
      </c>
      <c r="N423" s="56">
        <v>5</v>
      </c>
      <c r="O423" s="57">
        <v>31000</v>
      </c>
      <c r="P423" s="56">
        <v>3.7</v>
      </c>
      <c r="Q423" s="56">
        <v>18.5</v>
      </c>
      <c r="R423" s="56">
        <v>2.5</v>
      </c>
      <c r="S423" s="56">
        <v>12.5</v>
      </c>
      <c r="T423" s="56">
        <v>5.7</v>
      </c>
      <c r="U423" s="56">
        <v>28.5</v>
      </c>
      <c r="V423" s="56">
        <v>2.5</v>
      </c>
      <c r="W423" s="56">
        <v>12.5</v>
      </c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</row>
    <row r="424" spans="1:39" x14ac:dyDescent="0.4">
      <c r="A424" s="56"/>
      <c r="B424" s="59"/>
      <c r="C424" s="56"/>
      <c r="D424" s="56"/>
      <c r="E424" s="56"/>
      <c r="F424" s="57"/>
      <c r="G424" s="57"/>
      <c r="H424" s="57"/>
      <c r="I424" s="56"/>
      <c r="J424" s="56"/>
      <c r="K424" s="56"/>
      <c r="L424" s="56" t="s">
        <v>968</v>
      </c>
      <c r="M424" s="56">
        <v>1.9</v>
      </c>
      <c r="N424" s="56">
        <v>1</v>
      </c>
      <c r="O424" s="57">
        <v>1900</v>
      </c>
      <c r="P424" s="56">
        <v>0</v>
      </c>
      <c r="Q424" s="56">
        <v>0</v>
      </c>
      <c r="R424" s="56">
        <v>1.9</v>
      </c>
      <c r="S424" s="56">
        <v>1.9</v>
      </c>
      <c r="T424" s="56">
        <v>0</v>
      </c>
      <c r="U424" s="56">
        <v>0</v>
      </c>
      <c r="V424" s="56">
        <v>1.9</v>
      </c>
      <c r="W424" s="56">
        <v>1.9</v>
      </c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</row>
    <row r="425" spans="1:39" x14ac:dyDescent="0.4">
      <c r="A425" s="56"/>
      <c r="B425" s="59"/>
      <c r="C425" s="56"/>
      <c r="D425" s="56"/>
      <c r="E425" s="56"/>
      <c r="F425" s="57"/>
      <c r="G425" s="57"/>
      <c r="H425" s="57"/>
      <c r="I425" s="56"/>
      <c r="J425" s="56"/>
      <c r="K425" s="56"/>
      <c r="L425" s="56" t="s">
        <v>969</v>
      </c>
      <c r="M425" s="56">
        <v>10.9</v>
      </c>
      <c r="N425" s="56">
        <v>1</v>
      </c>
      <c r="O425" s="57">
        <v>10900</v>
      </c>
      <c r="P425" s="56">
        <v>10.9</v>
      </c>
      <c r="Q425" s="56">
        <v>10.9</v>
      </c>
      <c r="R425" s="56">
        <v>0</v>
      </c>
      <c r="S425" s="56">
        <v>0</v>
      </c>
      <c r="T425" s="56">
        <v>16</v>
      </c>
      <c r="U425" s="56">
        <v>16</v>
      </c>
      <c r="V425" s="57">
        <v>0</v>
      </c>
      <c r="W425" s="56">
        <v>0</v>
      </c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</row>
    <row r="426" spans="1:39" x14ac:dyDescent="0.4">
      <c r="A426" s="56"/>
      <c r="B426" s="59"/>
      <c r="C426" s="56"/>
      <c r="D426" s="56"/>
      <c r="E426" s="56"/>
      <c r="F426" s="57"/>
      <c r="G426" s="57"/>
      <c r="H426" s="57"/>
      <c r="I426" s="56"/>
      <c r="J426" s="56"/>
      <c r="K426" s="56"/>
      <c r="L426" s="56" t="s">
        <v>970</v>
      </c>
      <c r="M426" s="56">
        <v>24.9</v>
      </c>
      <c r="N426" s="56">
        <v>1</v>
      </c>
      <c r="O426" s="57">
        <v>24900</v>
      </c>
      <c r="P426" s="56">
        <v>22.5</v>
      </c>
      <c r="Q426" s="56">
        <v>22.5</v>
      </c>
      <c r="R426" s="56">
        <v>2.4</v>
      </c>
      <c r="S426" s="56">
        <v>2.4</v>
      </c>
      <c r="T426" s="56">
        <v>33</v>
      </c>
      <c r="U426" s="56">
        <v>33</v>
      </c>
      <c r="V426" s="56">
        <v>2.4</v>
      </c>
      <c r="W426" s="56">
        <v>2.4</v>
      </c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</row>
    <row r="427" spans="1:39" x14ac:dyDescent="0.4">
      <c r="A427" s="56"/>
      <c r="B427" s="59"/>
      <c r="C427" s="56"/>
      <c r="D427" s="56"/>
      <c r="E427" s="56"/>
      <c r="F427" s="57"/>
      <c r="G427" s="57"/>
      <c r="H427" s="57"/>
      <c r="I427" s="56"/>
      <c r="J427" s="56"/>
      <c r="K427" s="56"/>
      <c r="L427" s="56" t="s">
        <v>580</v>
      </c>
      <c r="M427" s="56">
        <v>0</v>
      </c>
      <c r="N427" s="56">
        <v>13</v>
      </c>
      <c r="O427" s="57">
        <v>0</v>
      </c>
      <c r="P427" s="56">
        <v>0.6</v>
      </c>
      <c r="Q427" s="56">
        <v>7.8</v>
      </c>
      <c r="R427" s="56">
        <v>-0.6</v>
      </c>
      <c r="S427" s="56">
        <v>-7.8</v>
      </c>
      <c r="T427" s="56">
        <v>0.6</v>
      </c>
      <c r="U427" s="56">
        <v>7.8</v>
      </c>
      <c r="V427" s="57">
        <v>-0.6</v>
      </c>
      <c r="W427" s="56">
        <v>-7.8</v>
      </c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</row>
    <row r="428" spans="1:39" x14ac:dyDescent="0.4">
      <c r="A428" s="56"/>
      <c r="B428" s="59"/>
      <c r="C428" s="56"/>
      <c r="D428" s="56"/>
      <c r="E428" s="56"/>
      <c r="F428" s="57"/>
      <c r="G428" s="57"/>
      <c r="H428" s="57"/>
      <c r="I428" s="56"/>
      <c r="J428" s="56"/>
      <c r="K428" s="56"/>
      <c r="L428" s="56" t="s">
        <v>971</v>
      </c>
      <c r="M428" s="56">
        <v>0.9</v>
      </c>
      <c r="N428" s="56">
        <v>4</v>
      </c>
      <c r="O428" s="57">
        <v>3600</v>
      </c>
      <c r="P428" s="56">
        <v>0.9</v>
      </c>
      <c r="Q428" s="56">
        <v>3.6</v>
      </c>
      <c r="R428" s="56">
        <v>0</v>
      </c>
      <c r="S428" s="56">
        <v>0</v>
      </c>
      <c r="T428" s="56">
        <v>0.9</v>
      </c>
      <c r="U428" s="56">
        <v>3.6</v>
      </c>
      <c r="V428" s="57">
        <v>0</v>
      </c>
      <c r="W428" s="56">
        <v>0</v>
      </c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</row>
    <row r="429" spans="1:39" x14ac:dyDescent="0.4">
      <c r="A429" s="56"/>
      <c r="B429" s="59"/>
      <c r="C429" s="56"/>
      <c r="D429" s="56"/>
      <c r="E429" s="56"/>
      <c r="F429" s="57"/>
      <c r="G429" s="57"/>
      <c r="H429" s="57"/>
      <c r="I429" s="56"/>
      <c r="J429" s="56"/>
      <c r="K429" s="56"/>
      <c r="L429" s="56" t="s">
        <v>972</v>
      </c>
      <c r="M429" s="56"/>
      <c r="N429" s="56"/>
      <c r="O429" s="57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</row>
    <row r="430" spans="1:39" x14ac:dyDescent="0.4">
      <c r="A430" s="56"/>
      <c r="B430" s="59"/>
      <c r="C430" s="56"/>
      <c r="D430" s="56"/>
      <c r="E430" s="56"/>
      <c r="F430" s="57"/>
      <c r="G430" s="57"/>
      <c r="H430" s="57"/>
      <c r="I430" s="56"/>
      <c r="J430" s="56"/>
      <c r="K430" s="56"/>
      <c r="L430" s="56" t="s">
        <v>973</v>
      </c>
      <c r="M430" s="56">
        <v>70</v>
      </c>
      <c r="N430" s="56">
        <v>1</v>
      </c>
      <c r="O430" s="57">
        <v>70000</v>
      </c>
      <c r="P430" s="56">
        <v>0</v>
      </c>
      <c r="Q430" s="56">
        <v>0</v>
      </c>
      <c r="R430" s="56">
        <v>70</v>
      </c>
      <c r="S430" s="56">
        <v>70</v>
      </c>
      <c r="T430" s="56">
        <v>0</v>
      </c>
      <c r="U430" s="56">
        <v>0</v>
      </c>
      <c r="V430" s="57">
        <v>70</v>
      </c>
      <c r="W430" s="56">
        <v>70</v>
      </c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</row>
    <row r="431" spans="1:39" x14ac:dyDescent="0.4">
      <c r="A431" s="56"/>
      <c r="B431" s="59"/>
      <c r="C431" s="56"/>
      <c r="D431" s="56"/>
      <c r="E431" s="56"/>
      <c r="F431" s="57"/>
      <c r="G431" s="57"/>
      <c r="H431" s="57"/>
      <c r="I431" s="56"/>
      <c r="J431" s="56"/>
      <c r="K431" s="56"/>
      <c r="L431" s="56" t="s">
        <v>841</v>
      </c>
      <c r="M431" s="56">
        <v>6</v>
      </c>
      <c r="N431" s="56">
        <v>1</v>
      </c>
      <c r="O431" s="57">
        <v>6000</v>
      </c>
      <c r="P431" s="56">
        <v>0</v>
      </c>
      <c r="Q431" s="56">
        <v>0</v>
      </c>
      <c r="R431" s="56">
        <v>6</v>
      </c>
      <c r="S431" s="56">
        <v>6</v>
      </c>
      <c r="T431" s="56">
        <v>0</v>
      </c>
      <c r="U431" s="56">
        <v>0</v>
      </c>
      <c r="V431" s="57">
        <v>6</v>
      </c>
      <c r="W431" s="56">
        <v>6</v>
      </c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</row>
    <row r="432" spans="1:39" x14ac:dyDescent="0.4">
      <c r="A432" s="56"/>
      <c r="B432" s="59"/>
      <c r="C432" s="56"/>
      <c r="D432" s="56"/>
      <c r="E432" s="56"/>
      <c r="F432" s="57"/>
      <c r="G432" s="57"/>
      <c r="H432" s="57"/>
      <c r="I432" s="56"/>
      <c r="J432" s="56"/>
      <c r="K432" s="56"/>
      <c r="L432" s="56" t="s">
        <v>974</v>
      </c>
      <c r="M432" s="56">
        <v>17.2</v>
      </c>
      <c r="N432" s="56">
        <v>1</v>
      </c>
      <c r="O432" s="57">
        <v>17200</v>
      </c>
      <c r="P432" s="56">
        <v>0</v>
      </c>
      <c r="Q432" s="56">
        <v>0</v>
      </c>
      <c r="R432" s="56">
        <v>17.2</v>
      </c>
      <c r="S432" s="56">
        <v>17.2</v>
      </c>
      <c r="T432" s="56">
        <v>0</v>
      </c>
      <c r="U432" s="56">
        <v>0</v>
      </c>
      <c r="V432" s="57">
        <v>17.2</v>
      </c>
      <c r="W432" s="56">
        <v>17.2</v>
      </c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</row>
    <row r="433" spans="1:35" x14ac:dyDescent="0.4">
      <c r="A433" s="56"/>
      <c r="B433" s="59"/>
      <c r="C433" s="56"/>
      <c r="D433" s="56"/>
      <c r="E433" s="56"/>
      <c r="F433" s="57"/>
      <c r="G433" s="57"/>
      <c r="H433" s="57"/>
      <c r="I433" s="56"/>
      <c r="J433" s="56"/>
      <c r="K433" s="56" t="s">
        <v>581</v>
      </c>
      <c r="L433" s="56"/>
      <c r="M433" s="56"/>
      <c r="N433" s="56"/>
      <c r="O433" s="57">
        <v>761100</v>
      </c>
      <c r="P433" s="56"/>
      <c r="Q433" s="56">
        <v>507.7</v>
      </c>
      <c r="R433" s="56"/>
      <c r="S433" s="56">
        <v>253.4</v>
      </c>
      <c r="T433" s="56"/>
      <c r="U433" s="56">
        <v>552.79999999999995</v>
      </c>
      <c r="V433" s="56"/>
      <c r="W433" s="56">
        <v>253.4</v>
      </c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</row>
    <row r="434" spans="1:35" x14ac:dyDescent="0.4">
      <c r="A434" s="56"/>
      <c r="B434" s="59"/>
      <c r="C434" s="56"/>
      <c r="D434" s="56"/>
      <c r="E434" s="56"/>
      <c r="F434" s="57"/>
      <c r="G434" s="57"/>
      <c r="H434" s="57"/>
      <c r="I434" s="56"/>
      <c r="J434" s="56"/>
      <c r="K434" s="56" t="s">
        <v>582</v>
      </c>
      <c r="L434" s="56"/>
      <c r="M434" s="56"/>
      <c r="N434" s="56"/>
      <c r="O434" s="57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</row>
    <row r="435" spans="1:35" x14ac:dyDescent="0.4">
      <c r="A435" s="56"/>
      <c r="B435" s="59"/>
      <c r="C435" s="56"/>
      <c r="D435" s="56"/>
      <c r="E435" s="56"/>
      <c r="F435" s="57"/>
      <c r="G435" s="57"/>
      <c r="H435" s="57"/>
      <c r="I435" s="56"/>
      <c r="J435" s="56"/>
      <c r="K435" s="56" t="s">
        <v>583</v>
      </c>
      <c r="L435" s="56"/>
      <c r="M435" s="56"/>
      <c r="N435" s="56"/>
      <c r="O435" s="57">
        <v>0</v>
      </c>
      <c r="P435" s="56"/>
      <c r="Q435" s="56">
        <v>0</v>
      </c>
      <c r="R435" s="56"/>
      <c r="S435" s="56">
        <v>0</v>
      </c>
      <c r="T435" s="56"/>
      <c r="U435" s="56">
        <v>0</v>
      </c>
      <c r="V435" s="56"/>
      <c r="W435" s="56">
        <v>0</v>
      </c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</row>
    <row r="436" spans="1:35" x14ac:dyDescent="0.4">
      <c r="A436" s="56"/>
      <c r="B436" s="59"/>
      <c r="C436" s="56"/>
      <c r="D436" s="56"/>
      <c r="E436" s="56"/>
      <c r="F436" s="57"/>
      <c r="G436" s="57"/>
      <c r="H436" s="57"/>
      <c r="I436" s="56"/>
      <c r="J436" s="56"/>
      <c r="K436" s="56" t="s">
        <v>584</v>
      </c>
      <c r="L436" s="56"/>
      <c r="M436" s="56"/>
      <c r="N436" s="56"/>
      <c r="O436" s="57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</row>
    <row r="437" spans="1:35" x14ac:dyDescent="0.4">
      <c r="A437" s="56"/>
      <c r="B437" s="59"/>
      <c r="C437" s="56"/>
      <c r="D437" s="56"/>
      <c r="E437" s="56"/>
      <c r="F437" s="57"/>
      <c r="G437" s="57"/>
      <c r="H437" s="57"/>
      <c r="I437" s="56"/>
      <c r="J437" s="56"/>
      <c r="K437" s="56" t="s">
        <v>585</v>
      </c>
      <c r="L437" s="56"/>
      <c r="M437" s="56"/>
      <c r="N437" s="56"/>
      <c r="O437" s="57">
        <v>0</v>
      </c>
      <c r="P437" s="56"/>
      <c r="Q437" s="56">
        <v>0</v>
      </c>
      <c r="R437" s="56"/>
      <c r="S437" s="56">
        <v>0</v>
      </c>
      <c r="T437" s="56"/>
      <c r="U437" s="56">
        <v>0</v>
      </c>
      <c r="V437" s="56"/>
      <c r="W437" s="56">
        <v>0</v>
      </c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</row>
    <row r="438" spans="1:35" x14ac:dyDescent="0.4">
      <c r="A438" s="56"/>
      <c r="B438" s="59"/>
      <c r="C438" s="56"/>
      <c r="D438" s="56"/>
      <c r="E438" s="56"/>
      <c r="F438" s="57"/>
      <c r="G438" s="57"/>
      <c r="H438" s="57"/>
      <c r="I438" s="56"/>
      <c r="J438" s="56"/>
      <c r="K438" s="56" t="s">
        <v>586</v>
      </c>
      <c r="L438" s="56"/>
      <c r="M438" s="56"/>
      <c r="N438" s="56"/>
      <c r="O438" s="57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</row>
    <row r="439" spans="1:35" x14ac:dyDescent="0.4">
      <c r="A439" s="56"/>
      <c r="B439" s="59"/>
      <c r="C439" s="56"/>
      <c r="D439" s="56"/>
      <c r="E439" s="56"/>
      <c r="F439" s="57"/>
      <c r="G439" s="57"/>
      <c r="H439" s="57"/>
      <c r="I439" s="56"/>
      <c r="J439" s="56"/>
      <c r="K439" s="56" t="s">
        <v>587</v>
      </c>
      <c r="L439" s="56"/>
      <c r="M439" s="56"/>
      <c r="N439" s="56"/>
      <c r="O439" s="57">
        <v>0</v>
      </c>
      <c r="P439" s="56"/>
      <c r="Q439" s="56">
        <v>0</v>
      </c>
      <c r="R439" s="56"/>
      <c r="S439" s="56">
        <v>0</v>
      </c>
      <c r="T439" s="56"/>
      <c r="U439" s="56">
        <v>0</v>
      </c>
      <c r="V439" s="56"/>
      <c r="W439" s="56">
        <v>0</v>
      </c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</row>
    <row r="440" spans="1:35" x14ac:dyDescent="0.4">
      <c r="A440" s="56"/>
      <c r="B440" s="59"/>
      <c r="C440" s="56"/>
      <c r="D440" s="56"/>
      <c r="E440" s="56"/>
      <c r="F440" s="57"/>
      <c r="G440" s="57"/>
      <c r="H440" s="57"/>
      <c r="I440" s="56"/>
      <c r="J440" s="56"/>
      <c r="K440" s="56" t="s">
        <v>588</v>
      </c>
      <c r="L440" s="56"/>
      <c r="M440" s="56"/>
      <c r="N440" s="56"/>
      <c r="O440" s="57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</row>
    <row r="441" spans="1:35" x14ac:dyDescent="0.4">
      <c r="A441" s="56"/>
      <c r="B441" s="59"/>
      <c r="C441" s="56"/>
      <c r="D441" s="56"/>
      <c r="E441" s="56"/>
      <c r="F441" s="57"/>
      <c r="G441" s="57"/>
      <c r="H441" s="57"/>
      <c r="I441" s="56"/>
      <c r="J441" s="56"/>
      <c r="K441" s="56" t="s">
        <v>589</v>
      </c>
      <c r="L441" s="56"/>
      <c r="M441" s="56"/>
      <c r="N441" s="56"/>
      <c r="O441" s="57">
        <v>0</v>
      </c>
      <c r="P441" s="56"/>
      <c r="Q441" s="56">
        <v>0</v>
      </c>
      <c r="R441" s="56"/>
      <c r="S441" s="56">
        <v>0</v>
      </c>
      <c r="T441" s="56"/>
      <c r="U441" s="56">
        <v>0</v>
      </c>
      <c r="V441" s="56"/>
      <c r="W441" s="56">
        <v>0</v>
      </c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</row>
    <row r="442" spans="1:35" x14ac:dyDescent="0.4">
      <c r="A442" s="56"/>
      <c r="B442" s="59"/>
      <c r="C442" s="56"/>
      <c r="D442" s="56"/>
      <c r="E442" s="56"/>
      <c r="F442" s="57"/>
      <c r="G442" s="57"/>
      <c r="H442" s="57"/>
      <c r="I442" s="56"/>
      <c r="J442" s="56"/>
      <c r="K442" s="56" t="s">
        <v>590</v>
      </c>
      <c r="L442" s="56"/>
      <c r="M442" s="56"/>
      <c r="N442" s="56"/>
      <c r="O442" s="57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</row>
    <row r="443" spans="1:35" x14ac:dyDescent="0.4">
      <c r="A443" s="56"/>
      <c r="B443" s="59"/>
      <c r="C443" s="56"/>
      <c r="D443" s="56"/>
      <c r="E443" s="56"/>
      <c r="F443" s="57"/>
      <c r="G443" s="57"/>
      <c r="H443" s="57"/>
      <c r="I443" s="56"/>
      <c r="J443" s="56"/>
      <c r="K443" s="56" t="s">
        <v>591</v>
      </c>
      <c r="L443" s="56"/>
      <c r="M443" s="56"/>
      <c r="N443" s="56"/>
      <c r="O443" s="57">
        <v>0</v>
      </c>
      <c r="P443" s="56"/>
      <c r="Q443" s="56">
        <v>0</v>
      </c>
      <c r="R443" s="56"/>
      <c r="S443" s="56">
        <v>0</v>
      </c>
      <c r="T443" s="56"/>
      <c r="U443" s="56">
        <v>0</v>
      </c>
      <c r="V443" s="56"/>
      <c r="W443" s="56">
        <v>0</v>
      </c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</row>
    <row r="444" spans="1:35" x14ac:dyDescent="0.4">
      <c r="A444" s="56"/>
      <c r="B444" s="59"/>
      <c r="C444" s="56"/>
      <c r="D444" s="56"/>
      <c r="E444" s="56"/>
      <c r="F444" s="57"/>
      <c r="G444" s="57"/>
      <c r="H444" s="57"/>
      <c r="I444" s="56"/>
      <c r="J444" s="56"/>
      <c r="K444" s="56" t="s">
        <v>592</v>
      </c>
      <c r="L444" s="56"/>
      <c r="M444" s="56"/>
      <c r="N444" s="56"/>
      <c r="O444" s="57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</row>
    <row r="445" spans="1:35" x14ac:dyDescent="0.4">
      <c r="A445" s="56"/>
      <c r="B445" s="59"/>
      <c r="C445" s="56"/>
      <c r="D445" s="56"/>
      <c r="E445" s="56"/>
      <c r="F445" s="57"/>
      <c r="G445" s="57"/>
      <c r="H445" s="57"/>
      <c r="I445" s="56"/>
      <c r="J445" s="56"/>
      <c r="K445" s="56" t="s">
        <v>593</v>
      </c>
      <c r="L445" s="56"/>
      <c r="M445" s="56"/>
      <c r="N445" s="56"/>
      <c r="O445" s="57">
        <v>0</v>
      </c>
      <c r="P445" s="56"/>
      <c r="Q445" s="56">
        <v>0</v>
      </c>
      <c r="R445" s="56"/>
      <c r="S445" s="56">
        <v>0</v>
      </c>
      <c r="T445" s="56"/>
      <c r="U445" s="56">
        <v>0</v>
      </c>
      <c r="V445" s="56"/>
      <c r="W445" s="56">
        <v>0</v>
      </c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</row>
    <row r="446" spans="1:35" x14ac:dyDescent="0.4">
      <c r="A446" s="56"/>
      <c r="B446" s="59"/>
      <c r="C446" s="56"/>
      <c r="D446" s="56"/>
      <c r="E446" s="56"/>
      <c r="F446" s="57"/>
      <c r="G446" s="57"/>
      <c r="H446" s="57"/>
      <c r="I446" s="56"/>
      <c r="J446" s="56"/>
      <c r="K446" s="56" t="s">
        <v>594</v>
      </c>
      <c r="L446" s="56"/>
      <c r="M446" s="56"/>
      <c r="N446" s="56"/>
      <c r="O446" s="57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</row>
    <row r="447" spans="1:35" x14ac:dyDescent="0.4">
      <c r="A447" s="56"/>
      <c r="B447" s="59"/>
      <c r="C447" s="56"/>
      <c r="D447" s="56"/>
      <c r="E447" s="56"/>
      <c r="F447" s="57"/>
      <c r="G447" s="57"/>
      <c r="H447" s="57"/>
      <c r="I447" s="56"/>
      <c r="J447" s="56"/>
      <c r="K447" s="56" t="s">
        <v>595</v>
      </c>
      <c r="L447" s="56"/>
      <c r="M447" s="56"/>
      <c r="N447" s="56"/>
      <c r="O447" s="57">
        <v>0</v>
      </c>
      <c r="P447" s="56"/>
      <c r="Q447" s="56">
        <v>0</v>
      </c>
      <c r="R447" s="56"/>
      <c r="S447" s="56">
        <v>0</v>
      </c>
      <c r="T447" s="56"/>
      <c r="U447" s="56">
        <v>0</v>
      </c>
      <c r="V447" s="56"/>
      <c r="W447" s="56">
        <v>0</v>
      </c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</row>
    <row r="448" spans="1:35" x14ac:dyDescent="0.4">
      <c r="A448" s="56"/>
      <c r="B448" s="59"/>
      <c r="C448" s="56"/>
      <c r="D448" s="56"/>
      <c r="E448" s="56"/>
      <c r="F448" s="57"/>
      <c r="G448" s="57"/>
      <c r="H448" s="57"/>
      <c r="I448" s="56"/>
      <c r="J448" s="58"/>
      <c r="K448" s="56" t="s">
        <v>596</v>
      </c>
      <c r="L448" s="56"/>
      <c r="M448" s="56"/>
      <c r="N448" s="58"/>
      <c r="O448" s="57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</row>
    <row r="449" spans="1:39" x14ac:dyDescent="0.4">
      <c r="A449" s="56"/>
      <c r="B449" s="59"/>
      <c r="C449" s="56"/>
      <c r="D449" s="56"/>
      <c r="E449" s="56"/>
      <c r="F449" s="57"/>
      <c r="G449" s="57"/>
      <c r="H449" s="57"/>
      <c r="I449" s="56"/>
      <c r="J449" s="56"/>
      <c r="K449" s="56" t="s">
        <v>597</v>
      </c>
      <c r="L449" s="56"/>
      <c r="M449" s="56"/>
      <c r="N449" s="56"/>
      <c r="O449" s="57">
        <v>0</v>
      </c>
      <c r="P449" s="56"/>
      <c r="Q449" s="56">
        <v>0</v>
      </c>
      <c r="R449" s="56"/>
      <c r="S449" s="56">
        <v>0</v>
      </c>
      <c r="T449" s="56"/>
      <c r="U449" s="56">
        <v>0</v>
      </c>
      <c r="V449" s="56"/>
      <c r="W449" s="56">
        <v>0</v>
      </c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</row>
    <row r="450" spans="1:39" x14ac:dyDescent="0.4">
      <c r="A450" s="56"/>
      <c r="B450" s="59"/>
      <c r="C450" s="56"/>
      <c r="D450" s="56"/>
      <c r="E450" s="56"/>
      <c r="F450" s="57"/>
      <c r="G450" s="57"/>
      <c r="H450" s="57"/>
      <c r="I450" s="56"/>
      <c r="J450" s="56" t="s">
        <v>75</v>
      </c>
      <c r="K450" s="56"/>
      <c r="L450" s="56"/>
      <c r="M450" s="56"/>
      <c r="N450" s="56"/>
      <c r="O450" s="57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</row>
    <row r="451" spans="1:39" x14ac:dyDescent="0.4">
      <c r="A451" s="56"/>
      <c r="B451" s="59"/>
      <c r="C451" s="56"/>
      <c r="D451" s="56"/>
      <c r="E451" s="56"/>
      <c r="F451" s="57"/>
      <c r="G451" s="57"/>
      <c r="H451" s="57"/>
      <c r="I451" s="56"/>
      <c r="J451" s="56"/>
      <c r="K451" s="56" t="s">
        <v>598</v>
      </c>
      <c r="L451" s="56"/>
      <c r="M451" s="56"/>
      <c r="N451" s="56"/>
      <c r="O451" s="57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</row>
    <row r="452" spans="1:39" x14ac:dyDescent="0.4">
      <c r="A452" s="56"/>
      <c r="B452" s="59"/>
      <c r="C452" s="56"/>
      <c r="D452" s="56"/>
      <c r="E452" s="56"/>
      <c r="F452" s="57"/>
      <c r="G452" s="57"/>
      <c r="H452" s="57"/>
      <c r="I452" s="56"/>
      <c r="J452" s="56"/>
      <c r="K452" s="56"/>
      <c r="L452" s="56" t="s">
        <v>599</v>
      </c>
      <c r="M452" s="56"/>
      <c r="N452" s="56"/>
      <c r="O452" s="57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</row>
    <row r="453" spans="1:39" x14ac:dyDescent="0.4">
      <c r="A453" s="56"/>
      <c r="B453" s="59"/>
      <c r="C453" s="56"/>
      <c r="D453" s="56"/>
      <c r="E453" s="56"/>
      <c r="F453" s="57"/>
      <c r="G453" s="57"/>
      <c r="H453" s="57"/>
      <c r="I453" s="56"/>
      <c r="J453" s="56"/>
      <c r="K453" s="56"/>
      <c r="L453" s="56" t="s">
        <v>600</v>
      </c>
      <c r="M453" s="56">
        <v>91.5</v>
      </c>
      <c r="N453" s="56">
        <v>1</v>
      </c>
      <c r="O453" s="57">
        <v>91500</v>
      </c>
      <c r="P453" s="56">
        <v>0</v>
      </c>
      <c r="Q453" s="56">
        <v>0</v>
      </c>
      <c r="R453" s="56">
        <v>91.5</v>
      </c>
      <c r="S453" s="56">
        <v>91.5</v>
      </c>
      <c r="T453" s="56">
        <v>0</v>
      </c>
      <c r="U453" s="56">
        <v>0</v>
      </c>
      <c r="V453" s="56">
        <v>91.5</v>
      </c>
      <c r="W453" s="56">
        <v>91.5</v>
      </c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</row>
    <row r="454" spans="1:39" x14ac:dyDescent="0.4">
      <c r="A454" s="56"/>
      <c r="B454" s="59"/>
      <c r="C454" s="56"/>
      <c r="D454" s="56"/>
      <c r="E454" s="56"/>
      <c r="F454" s="57"/>
      <c r="G454" s="57"/>
      <c r="H454" s="57"/>
      <c r="I454" s="56"/>
      <c r="J454" s="56"/>
      <c r="K454" s="56"/>
      <c r="L454" s="56" t="s">
        <v>601</v>
      </c>
      <c r="M454" s="56">
        <v>5.3</v>
      </c>
      <c r="N454" s="56">
        <v>60</v>
      </c>
      <c r="O454" s="57">
        <v>318000</v>
      </c>
      <c r="P454" s="56">
        <v>0</v>
      </c>
      <c r="Q454" s="56">
        <v>0</v>
      </c>
      <c r="R454" s="56">
        <v>5.3</v>
      </c>
      <c r="S454" s="56">
        <v>318</v>
      </c>
      <c r="T454" s="56">
        <v>0</v>
      </c>
      <c r="U454" s="56">
        <v>0</v>
      </c>
      <c r="V454" s="56">
        <v>5.3</v>
      </c>
      <c r="W454" s="56">
        <v>318</v>
      </c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</row>
    <row r="455" spans="1:39" x14ac:dyDescent="0.4">
      <c r="A455" s="56"/>
      <c r="B455" s="59"/>
      <c r="C455" s="56"/>
      <c r="D455" s="56"/>
      <c r="E455" s="56"/>
      <c r="F455" s="57"/>
      <c r="G455" s="57"/>
      <c r="H455" s="57"/>
      <c r="I455" s="56"/>
      <c r="J455" s="56"/>
      <c r="K455" s="56"/>
      <c r="L455" s="56" t="s">
        <v>602</v>
      </c>
      <c r="M455" s="56">
        <v>134.6</v>
      </c>
      <c r="N455" s="56">
        <v>1</v>
      </c>
      <c r="O455" s="57">
        <v>134600</v>
      </c>
      <c r="P455" s="56">
        <v>0</v>
      </c>
      <c r="Q455" s="56">
        <v>0</v>
      </c>
      <c r="R455" s="56">
        <v>134.6</v>
      </c>
      <c r="S455" s="56">
        <v>134.6</v>
      </c>
      <c r="T455" s="56">
        <v>0</v>
      </c>
      <c r="U455" s="56">
        <v>0</v>
      </c>
      <c r="V455" s="56">
        <v>134.6</v>
      </c>
      <c r="W455" s="56">
        <v>134.6</v>
      </c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</row>
    <row r="456" spans="1:39" x14ac:dyDescent="0.4">
      <c r="A456" s="56"/>
      <c r="B456" s="59"/>
      <c r="C456" s="56"/>
      <c r="D456" s="56"/>
      <c r="E456" s="56"/>
      <c r="F456" s="57"/>
      <c r="G456" s="57"/>
      <c r="H456" s="57"/>
      <c r="I456" s="56"/>
      <c r="J456" s="56"/>
      <c r="K456" s="56"/>
      <c r="L456" s="56" t="s">
        <v>603</v>
      </c>
      <c r="M456" s="56">
        <v>1.9</v>
      </c>
      <c r="N456" s="56">
        <v>60</v>
      </c>
      <c r="O456" s="57">
        <v>114000</v>
      </c>
      <c r="P456" s="56">
        <v>0</v>
      </c>
      <c r="Q456" s="56">
        <v>0</v>
      </c>
      <c r="R456" s="56">
        <v>1.9</v>
      </c>
      <c r="S456" s="56">
        <v>114</v>
      </c>
      <c r="T456" s="56">
        <v>0</v>
      </c>
      <c r="U456" s="56">
        <v>0</v>
      </c>
      <c r="V456" s="56">
        <v>1.9</v>
      </c>
      <c r="W456" s="56">
        <v>114</v>
      </c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</row>
    <row r="457" spans="1:39" x14ac:dyDescent="0.4">
      <c r="A457" s="56"/>
      <c r="B457" s="59"/>
      <c r="C457" s="56"/>
      <c r="D457" s="56"/>
      <c r="E457" s="56"/>
      <c r="F457" s="57"/>
      <c r="G457" s="57"/>
      <c r="H457" s="57"/>
      <c r="I457" s="56"/>
      <c r="J457" s="56" t="s">
        <v>243</v>
      </c>
      <c r="K457" s="56"/>
      <c r="L457" s="56" t="s">
        <v>604</v>
      </c>
      <c r="M457" s="56">
        <v>-1.9</v>
      </c>
      <c r="N457" s="56">
        <v>56</v>
      </c>
      <c r="O457" s="57">
        <v>-106400</v>
      </c>
      <c r="P457" s="56">
        <v>0</v>
      </c>
      <c r="Q457" s="56">
        <v>0</v>
      </c>
      <c r="R457" s="56">
        <v>-1.9</v>
      </c>
      <c r="S457" s="56">
        <v>-106.4</v>
      </c>
      <c r="T457" s="56">
        <v>0</v>
      </c>
      <c r="U457" s="56">
        <v>0</v>
      </c>
      <c r="V457" s="56">
        <v>-1.9</v>
      </c>
      <c r="W457" s="56">
        <v>-106.4</v>
      </c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</row>
    <row r="458" spans="1:39" x14ac:dyDescent="0.4">
      <c r="A458" s="56"/>
      <c r="B458" s="59"/>
      <c r="C458" s="56"/>
      <c r="D458" s="56"/>
      <c r="E458" s="56"/>
      <c r="F458" s="57"/>
      <c r="G458" s="57"/>
      <c r="H458" s="57"/>
      <c r="I458" s="56"/>
      <c r="J458" s="56"/>
      <c r="K458" s="56"/>
      <c r="L458" s="56" t="s">
        <v>605</v>
      </c>
      <c r="M458" s="56"/>
      <c r="N458" s="56"/>
      <c r="O458" s="57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</row>
    <row r="459" spans="1:39" x14ac:dyDescent="0.4">
      <c r="A459" s="56"/>
      <c r="B459" s="59"/>
      <c r="C459" s="56"/>
      <c r="D459" s="56"/>
      <c r="E459" s="56"/>
      <c r="F459" s="57"/>
      <c r="G459" s="57"/>
      <c r="H459" s="57"/>
      <c r="I459" s="56"/>
      <c r="J459" s="56"/>
      <c r="K459" s="56"/>
      <c r="L459" s="56" t="s">
        <v>606</v>
      </c>
      <c r="M459" s="56">
        <v>4.5999999999999996</v>
      </c>
      <c r="N459" s="56">
        <v>2</v>
      </c>
      <c r="O459" s="57">
        <v>9200</v>
      </c>
      <c r="P459" s="56">
        <v>0</v>
      </c>
      <c r="Q459" s="56">
        <v>0</v>
      </c>
      <c r="R459" s="56">
        <v>4.5999999999999996</v>
      </c>
      <c r="S459" s="56">
        <v>9.1999999999999993</v>
      </c>
      <c r="T459" s="56">
        <v>0</v>
      </c>
      <c r="U459" s="56">
        <v>0</v>
      </c>
      <c r="V459" s="56">
        <v>4.5999999999999996</v>
      </c>
      <c r="W459" s="56">
        <v>9.1999999999999993</v>
      </c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</row>
    <row r="460" spans="1:39" x14ac:dyDescent="0.4">
      <c r="A460" s="56"/>
      <c r="B460" s="59"/>
      <c r="C460" s="56"/>
      <c r="D460" s="56"/>
      <c r="E460" s="56"/>
      <c r="F460" s="57"/>
      <c r="G460" s="57"/>
      <c r="H460" s="57"/>
      <c r="I460" s="56"/>
      <c r="J460" s="56"/>
      <c r="K460" s="56"/>
      <c r="L460" s="56" t="s">
        <v>607</v>
      </c>
      <c r="M460" s="56">
        <v>8.6999999999999993</v>
      </c>
      <c r="N460" s="56">
        <v>2</v>
      </c>
      <c r="O460" s="57">
        <v>17400</v>
      </c>
      <c r="P460" s="56">
        <v>0</v>
      </c>
      <c r="Q460" s="56">
        <v>0</v>
      </c>
      <c r="R460" s="56">
        <v>8.6999999999999993</v>
      </c>
      <c r="S460" s="56">
        <v>17.399999999999999</v>
      </c>
      <c r="T460" s="56">
        <v>0</v>
      </c>
      <c r="U460" s="56">
        <v>0</v>
      </c>
      <c r="V460" s="56">
        <v>8.6999999999999993</v>
      </c>
      <c r="W460" s="56">
        <v>17.399999999999999</v>
      </c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</row>
    <row r="461" spans="1:39" x14ac:dyDescent="0.4">
      <c r="A461" s="56"/>
      <c r="B461" s="59"/>
      <c r="C461" s="56"/>
      <c r="D461" s="56"/>
      <c r="E461" s="56"/>
      <c r="F461" s="57"/>
      <c r="G461" s="57"/>
      <c r="H461" s="57"/>
      <c r="I461" s="56"/>
      <c r="J461" s="56"/>
      <c r="K461" s="56"/>
      <c r="L461" s="56" t="s">
        <v>975</v>
      </c>
      <c r="M461" s="56">
        <v>-1.2</v>
      </c>
      <c r="N461" s="56">
        <v>2</v>
      </c>
      <c r="O461" s="57">
        <v>-2400</v>
      </c>
      <c r="P461" s="56">
        <v>0</v>
      </c>
      <c r="Q461" s="56">
        <v>0</v>
      </c>
      <c r="R461" s="56">
        <v>-1.2</v>
      </c>
      <c r="S461" s="56">
        <v>-2.4</v>
      </c>
      <c r="T461" s="56">
        <v>0</v>
      </c>
      <c r="U461" s="56">
        <v>0</v>
      </c>
      <c r="V461" s="56">
        <v>-1.2</v>
      </c>
      <c r="W461" s="56">
        <v>-2.4</v>
      </c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</row>
    <row r="462" spans="1:39" x14ac:dyDescent="0.4">
      <c r="A462" s="56"/>
      <c r="B462" s="59"/>
      <c r="C462" s="56"/>
      <c r="D462" s="56"/>
      <c r="E462" s="56"/>
      <c r="F462" s="57"/>
      <c r="G462" s="57"/>
      <c r="H462" s="57"/>
      <c r="I462" s="56"/>
      <c r="J462" s="56"/>
      <c r="K462" s="56"/>
      <c r="L462" s="56" t="s">
        <v>976</v>
      </c>
      <c r="M462" s="56">
        <v>-1.2</v>
      </c>
      <c r="N462" s="56">
        <v>2</v>
      </c>
      <c r="O462" s="57">
        <v>-2400</v>
      </c>
      <c r="P462" s="56">
        <v>0</v>
      </c>
      <c r="Q462" s="56">
        <v>0</v>
      </c>
      <c r="R462" s="56">
        <v>-1.2</v>
      </c>
      <c r="S462" s="56">
        <v>-2.4</v>
      </c>
      <c r="T462" s="56">
        <v>0</v>
      </c>
      <c r="U462" s="56">
        <v>0</v>
      </c>
      <c r="V462" s="56">
        <v>-1.2</v>
      </c>
      <c r="W462" s="56">
        <v>-2.4</v>
      </c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</row>
    <row r="463" spans="1:39" x14ac:dyDescent="0.4">
      <c r="A463" s="56"/>
      <c r="B463" s="59"/>
      <c r="C463" s="56"/>
      <c r="D463" s="56"/>
      <c r="E463" s="56"/>
      <c r="F463" s="57"/>
      <c r="G463" s="57"/>
      <c r="H463" s="57"/>
      <c r="I463" s="56"/>
      <c r="J463" s="56"/>
      <c r="K463" s="56"/>
      <c r="L463" s="56" t="s">
        <v>608</v>
      </c>
      <c r="M463" s="56"/>
      <c r="N463" s="56"/>
      <c r="O463" s="57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</row>
    <row r="464" spans="1:39" x14ac:dyDescent="0.4">
      <c r="A464" s="56"/>
      <c r="B464" s="59"/>
      <c r="C464" s="56"/>
      <c r="D464" s="56"/>
      <c r="E464" s="56"/>
      <c r="F464" s="57"/>
      <c r="G464" s="57"/>
      <c r="H464" s="57"/>
      <c r="I464" s="56"/>
      <c r="J464" s="56"/>
      <c r="K464" s="56"/>
      <c r="L464" s="56" t="s">
        <v>609</v>
      </c>
      <c r="M464" s="56">
        <v>34.4</v>
      </c>
      <c r="N464" s="56">
        <v>3</v>
      </c>
      <c r="O464" s="57">
        <v>103200</v>
      </c>
      <c r="P464" s="56">
        <v>0</v>
      </c>
      <c r="Q464" s="56">
        <v>0</v>
      </c>
      <c r="R464" s="56">
        <v>34.4</v>
      </c>
      <c r="S464" s="56">
        <v>103.2</v>
      </c>
      <c r="T464" s="56">
        <v>0</v>
      </c>
      <c r="U464" s="56">
        <v>0</v>
      </c>
      <c r="V464" s="56">
        <v>34.4</v>
      </c>
      <c r="W464" s="56">
        <v>103.2</v>
      </c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</row>
    <row r="465" spans="1:39" x14ac:dyDescent="0.4">
      <c r="A465" s="56"/>
      <c r="B465" s="59"/>
      <c r="C465" s="56"/>
      <c r="D465" s="56"/>
      <c r="E465" s="56"/>
      <c r="F465" s="57"/>
      <c r="G465" s="57"/>
      <c r="H465" s="57"/>
      <c r="I465" s="56"/>
      <c r="J465" s="56"/>
      <c r="K465" s="56"/>
      <c r="L465" s="56" t="s">
        <v>610</v>
      </c>
      <c r="M465" s="56"/>
      <c r="N465" s="56"/>
      <c r="O465" s="57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</row>
    <row r="466" spans="1:39" x14ac:dyDescent="0.4">
      <c r="A466" s="56"/>
      <c r="B466" s="59"/>
      <c r="C466" s="56"/>
      <c r="D466" s="56"/>
      <c r="E466" s="56"/>
      <c r="F466" s="57"/>
      <c r="G466" s="57"/>
      <c r="H466" s="57"/>
      <c r="I466" s="56"/>
      <c r="J466" s="56"/>
      <c r="K466" s="56"/>
      <c r="L466" s="56" t="s">
        <v>611</v>
      </c>
      <c r="M466" s="56">
        <v>10.8</v>
      </c>
      <c r="N466" s="56">
        <v>16</v>
      </c>
      <c r="O466" s="57">
        <v>172800</v>
      </c>
      <c r="P466" s="56">
        <v>0</v>
      </c>
      <c r="Q466" s="56">
        <v>0</v>
      </c>
      <c r="R466" s="56">
        <v>10.8</v>
      </c>
      <c r="S466" s="56">
        <v>172.8</v>
      </c>
      <c r="T466" s="56">
        <v>0</v>
      </c>
      <c r="U466" s="56">
        <v>0</v>
      </c>
      <c r="V466" s="56">
        <v>10.8</v>
      </c>
      <c r="W466" s="56">
        <v>172.8</v>
      </c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</row>
    <row r="467" spans="1:39" x14ac:dyDescent="0.4">
      <c r="A467" s="56"/>
      <c r="B467" s="59"/>
      <c r="C467" s="56"/>
      <c r="D467" s="56"/>
      <c r="E467" s="56"/>
      <c r="F467" s="57"/>
      <c r="G467" s="57"/>
      <c r="H467" s="57"/>
      <c r="I467" s="56"/>
      <c r="J467" s="56"/>
      <c r="K467" s="56"/>
      <c r="L467" s="56" t="s">
        <v>612</v>
      </c>
      <c r="M467" s="56">
        <v>10.8</v>
      </c>
      <c r="N467" s="56">
        <v>2</v>
      </c>
      <c r="O467" s="57">
        <v>21600</v>
      </c>
      <c r="P467" s="56">
        <v>0</v>
      </c>
      <c r="Q467" s="56">
        <v>0</v>
      </c>
      <c r="R467" s="56">
        <v>10.8</v>
      </c>
      <c r="S467" s="56">
        <v>21.6</v>
      </c>
      <c r="T467" s="56">
        <v>0</v>
      </c>
      <c r="U467" s="56">
        <v>0</v>
      </c>
      <c r="V467" s="56">
        <v>10.8</v>
      </c>
      <c r="W467" s="56">
        <v>21.6</v>
      </c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</row>
    <row r="468" spans="1:39" x14ac:dyDescent="0.4">
      <c r="A468" s="56"/>
      <c r="B468" s="59"/>
      <c r="C468" s="56"/>
      <c r="D468" s="56"/>
      <c r="E468" s="56"/>
      <c r="F468" s="57"/>
      <c r="G468" s="57"/>
      <c r="H468" s="57"/>
      <c r="I468" s="56"/>
      <c r="J468" s="56"/>
      <c r="K468" s="56"/>
      <c r="L468" s="56" t="s">
        <v>613</v>
      </c>
      <c r="M468" s="56">
        <v>28.9</v>
      </c>
      <c r="N468" s="56">
        <v>5</v>
      </c>
      <c r="O468" s="57">
        <v>144500</v>
      </c>
      <c r="P468" s="56">
        <v>0</v>
      </c>
      <c r="Q468" s="56">
        <v>0</v>
      </c>
      <c r="R468" s="56">
        <v>28.9</v>
      </c>
      <c r="S468" s="56">
        <v>144.5</v>
      </c>
      <c r="T468" s="56">
        <v>0</v>
      </c>
      <c r="U468" s="56">
        <v>0</v>
      </c>
      <c r="V468" s="56">
        <v>28.9</v>
      </c>
      <c r="W468" s="56">
        <v>144.5</v>
      </c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</row>
    <row r="469" spans="1:39" x14ac:dyDescent="0.4">
      <c r="A469" s="56"/>
      <c r="B469" s="59"/>
      <c r="C469" s="56"/>
      <c r="D469" s="56"/>
      <c r="E469" s="56"/>
      <c r="F469" s="57"/>
      <c r="G469" s="57"/>
      <c r="H469" s="57"/>
      <c r="I469" s="56"/>
      <c r="J469" s="56"/>
      <c r="K469" s="56"/>
      <c r="L469" s="56" t="s">
        <v>977</v>
      </c>
      <c r="M469" s="56">
        <v>28.9</v>
      </c>
      <c r="N469" s="56">
        <v>1</v>
      </c>
      <c r="O469" s="57">
        <v>28900</v>
      </c>
      <c r="P469" s="56">
        <v>0</v>
      </c>
      <c r="Q469" s="56">
        <v>0</v>
      </c>
      <c r="R469" s="56">
        <v>28.9</v>
      </c>
      <c r="S469" s="56">
        <v>28.9</v>
      </c>
      <c r="T469" s="56">
        <v>0</v>
      </c>
      <c r="U469" s="56">
        <v>0</v>
      </c>
      <c r="V469" s="56">
        <v>28.9</v>
      </c>
      <c r="W469" s="56">
        <v>28.9</v>
      </c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</row>
    <row r="470" spans="1:39" x14ac:dyDescent="0.4">
      <c r="A470" s="56"/>
      <c r="B470" s="59"/>
      <c r="C470" s="56"/>
      <c r="D470" s="56"/>
      <c r="E470" s="56"/>
      <c r="F470" s="57"/>
      <c r="G470" s="57"/>
      <c r="H470" s="57"/>
      <c r="I470" s="56"/>
      <c r="J470" s="56"/>
      <c r="K470" s="56"/>
      <c r="L470" s="56" t="s">
        <v>614</v>
      </c>
      <c r="M470" s="56">
        <v>20.3</v>
      </c>
      <c r="N470" s="56">
        <v>25</v>
      </c>
      <c r="O470" s="57">
        <v>507500</v>
      </c>
      <c r="P470" s="56">
        <v>0</v>
      </c>
      <c r="Q470" s="56">
        <v>0</v>
      </c>
      <c r="R470" s="56">
        <v>20.3</v>
      </c>
      <c r="S470" s="56">
        <v>507.5</v>
      </c>
      <c r="T470" s="56">
        <v>0</v>
      </c>
      <c r="U470" s="56">
        <v>0</v>
      </c>
      <c r="V470" s="56">
        <v>20.3</v>
      </c>
      <c r="W470" s="56">
        <v>507.5</v>
      </c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</row>
    <row r="471" spans="1:39" x14ac:dyDescent="0.4">
      <c r="A471" s="56"/>
      <c r="B471" s="59"/>
      <c r="C471" s="56"/>
      <c r="D471" s="56"/>
      <c r="E471" s="56"/>
      <c r="F471" s="57"/>
      <c r="G471" s="57"/>
      <c r="H471" s="57"/>
      <c r="I471" s="56"/>
      <c r="J471" s="56"/>
      <c r="K471" s="56"/>
      <c r="L471" s="56" t="s">
        <v>842</v>
      </c>
      <c r="M471" s="56">
        <v>1.4</v>
      </c>
      <c r="N471" s="56">
        <v>9</v>
      </c>
      <c r="O471" s="57">
        <v>12600</v>
      </c>
      <c r="P471" s="56">
        <v>0</v>
      </c>
      <c r="Q471" s="56">
        <v>0</v>
      </c>
      <c r="R471" s="56">
        <v>1.4</v>
      </c>
      <c r="S471" s="56">
        <v>12.6</v>
      </c>
      <c r="T471" s="56">
        <v>0</v>
      </c>
      <c r="U471" s="56">
        <v>0</v>
      </c>
      <c r="V471" s="56">
        <v>1.4</v>
      </c>
      <c r="W471" s="56">
        <v>12.6</v>
      </c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</row>
    <row r="472" spans="1:39" x14ac:dyDescent="0.4">
      <c r="A472" s="56"/>
      <c r="B472" s="59"/>
      <c r="C472" s="56"/>
      <c r="D472" s="56"/>
      <c r="E472" s="56"/>
      <c r="F472" s="57"/>
      <c r="G472" s="57"/>
      <c r="H472" s="57"/>
      <c r="I472" s="56"/>
      <c r="J472" s="56"/>
      <c r="K472" s="56"/>
      <c r="L472" s="56" t="s">
        <v>978</v>
      </c>
      <c r="M472" s="56">
        <v>-4.4000000000000004</v>
      </c>
      <c r="N472" s="56">
        <v>25</v>
      </c>
      <c r="O472" s="57">
        <v>-110000</v>
      </c>
      <c r="P472" s="56">
        <v>0</v>
      </c>
      <c r="Q472" s="56">
        <v>0</v>
      </c>
      <c r="R472" s="56">
        <v>-4.4000000000000004</v>
      </c>
      <c r="S472" s="56">
        <v>-110</v>
      </c>
      <c r="T472" s="56">
        <v>0</v>
      </c>
      <c r="U472" s="56">
        <v>0</v>
      </c>
      <c r="V472" s="56">
        <v>-4.4000000000000004</v>
      </c>
      <c r="W472" s="56">
        <v>-110</v>
      </c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</row>
    <row r="473" spans="1:39" x14ac:dyDescent="0.4">
      <c r="A473" s="56"/>
      <c r="B473" s="59"/>
      <c r="C473" s="56"/>
      <c r="D473" s="56"/>
      <c r="E473" s="56"/>
      <c r="F473" s="57"/>
      <c r="G473" s="57"/>
      <c r="H473" s="57"/>
      <c r="I473" s="56"/>
      <c r="J473" s="56"/>
      <c r="K473" s="56"/>
      <c r="L473" s="56" t="s">
        <v>615</v>
      </c>
      <c r="M473" s="56"/>
      <c r="N473" s="56"/>
      <c r="O473" s="57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</row>
    <row r="474" spans="1:39" x14ac:dyDescent="0.4">
      <c r="A474" s="56"/>
      <c r="B474" s="59"/>
      <c r="C474" s="56"/>
      <c r="D474" s="56"/>
      <c r="E474" s="56"/>
      <c r="F474" s="57"/>
      <c r="G474" s="57"/>
      <c r="H474" s="57"/>
      <c r="I474" s="56"/>
      <c r="J474" s="56"/>
      <c r="K474" s="56"/>
      <c r="L474" s="56" t="s">
        <v>616</v>
      </c>
      <c r="M474" s="56">
        <v>3.3</v>
      </c>
      <c r="N474" s="56">
        <v>9</v>
      </c>
      <c r="O474" s="57">
        <v>29700</v>
      </c>
      <c r="P474" s="56">
        <v>0</v>
      </c>
      <c r="Q474" s="56">
        <v>0</v>
      </c>
      <c r="R474" s="56">
        <v>3.3</v>
      </c>
      <c r="S474" s="56">
        <v>29.7</v>
      </c>
      <c r="T474" s="56">
        <v>0</v>
      </c>
      <c r="U474" s="56">
        <v>0</v>
      </c>
      <c r="V474" s="56">
        <v>3.3</v>
      </c>
      <c r="W474" s="56">
        <v>29.7</v>
      </c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</row>
    <row r="475" spans="1:39" x14ac:dyDescent="0.4">
      <c r="A475" s="56"/>
      <c r="B475" s="59"/>
      <c r="C475" s="56"/>
      <c r="D475" s="56"/>
      <c r="E475" s="56"/>
      <c r="F475" s="57"/>
      <c r="G475" s="57"/>
      <c r="H475" s="57"/>
      <c r="I475" s="56"/>
      <c r="J475" s="56"/>
      <c r="K475" s="56"/>
      <c r="L475" s="56" t="s">
        <v>617</v>
      </c>
      <c r="M475" s="56">
        <v>4.3</v>
      </c>
      <c r="N475" s="56">
        <v>7</v>
      </c>
      <c r="O475" s="57">
        <v>30100</v>
      </c>
      <c r="P475" s="56">
        <v>0</v>
      </c>
      <c r="Q475" s="56">
        <v>0</v>
      </c>
      <c r="R475" s="56">
        <v>4.3</v>
      </c>
      <c r="S475" s="56">
        <v>30.1</v>
      </c>
      <c r="T475" s="56">
        <v>0</v>
      </c>
      <c r="U475" s="56">
        <v>0</v>
      </c>
      <c r="V475" s="56">
        <v>4.3</v>
      </c>
      <c r="W475" s="56">
        <v>30.1</v>
      </c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</row>
    <row r="476" spans="1:39" x14ac:dyDescent="0.4">
      <c r="A476" s="56"/>
      <c r="B476" s="59"/>
      <c r="C476" s="56"/>
      <c r="D476" s="56"/>
      <c r="E476" s="56"/>
      <c r="F476" s="57"/>
      <c r="G476" s="57"/>
      <c r="H476" s="57"/>
      <c r="I476" s="56"/>
      <c r="J476" s="56"/>
      <c r="K476" s="56"/>
      <c r="L476" s="56" t="s">
        <v>979</v>
      </c>
      <c r="M476" s="56">
        <v>3.1</v>
      </c>
      <c r="N476" s="56">
        <v>1</v>
      </c>
      <c r="O476" s="57">
        <v>3100</v>
      </c>
      <c r="P476" s="56">
        <v>0</v>
      </c>
      <c r="Q476" s="56">
        <v>0</v>
      </c>
      <c r="R476" s="56">
        <v>3.1</v>
      </c>
      <c r="S476" s="56">
        <v>3.1</v>
      </c>
      <c r="T476" s="56">
        <v>0</v>
      </c>
      <c r="U476" s="56">
        <v>0</v>
      </c>
      <c r="V476" s="56">
        <v>3.1</v>
      </c>
      <c r="W476" s="56">
        <v>3.1</v>
      </c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</row>
    <row r="477" spans="1:39" x14ac:dyDescent="0.4">
      <c r="A477" s="56"/>
      <c r="B477" s="59"/>
      <c r="C477" s="56"/>
      <c r="D477" s="56"/>
      <c r="E477" s="56"/>
      <c r="F477" s="57"/>
      <c r="G477" s="57"/>
      <c r="H477" s="57"/>
      <c r="I477" s="56"/>
      <c r="J477" s="56"/>
      <c r="K477" s="56"/>
      <c r="L477" s="56" t="s">
        <v>980</v>
      </c>
      <c r="M477" s="56">
        <v>11.5</v>
      </c>
      <c r="N477" s="56">
        <v>1</v>
      </c>
      <c r="O477" s="57">
        <v>11500</v>
      </c>
      <c r="P477" s="56">
        <v>0</v>
      </c>
      <c r="Q477" s="56">
        <v>0</v>
      </c>
      <c r="R477" s="56">
        <v>11.5</v>
      </c>
      <c r="S477" s="56">
        <v>11.5</v>
      </c>
      <c r="T477" s="56">
        <v>0</v>
      </c>
      <c r="U477" s="56">
        <v>0</v>
      </c>
      <c r="V477" s="56">
        <v>11.5</v>
      </c>
      <c r="W477" s="56">
        <v>11.5</v>
      </c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</row>
    <row r="478" spans="1:39" x14ac:dyDescent="0.4">
      <c r="A478" s="56"/>
      <c r="B478" s="59"/>
      <c r="C478" s="56"/>
      <c r="D478" s="56"/>
      <c r="E478" s="56"/>
      <c r="F478" s="57"/>
      <c r="G478" s="57"/>
      <c r="H478" s="57"/>
      <c r="I478" s="56"/>
      <c r="J478" s="56"/>
      <c r="K478" s="56"/>
      <c r="L478" s="56" t="s">
        <v>618</v>
      </c>
      <c r="M478" s="56">
        <v>23.4</v>
      </c>
      <c r="N478" s="56">
        <v>1</v>
      </c>
      <c r="O478" s="57">
        <v>23400</v>
      </c>
      <c r="P478" s="56">
        <v>0</v>
      </c>
      <c r="Q478" s="56">
        <v>0</v>
      </c>
      <c r="R478" s="56">
        <v>23.4</v>
      </c>
      <c r="S478" s="56">
        <v>23.4</v>
      </c>
      <c r="T478" s="56">
        <v>0</v>
      </c>
      <c r="U478" s="56">
        <v>0</v>
      </c>
      <c r="V478" s="56">
        <v>23.4</v>
      </c>
      <c r="W478" s="56">
        <v>23.4</v>
      </c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</row>
    <row r="479" spans="1:39" x14ac:dyDescent="0.4">
      <c r="A479" s="56"/>
      <c r="B479" s="59"/>
      <c r="C479" s="56"/>
      <c r="D479" s="56"/>
      <c r="E479" s="56"/>
      <c r="F479" s="57"/>
      <c r="G479" s="57"/>
      <c r="H479" s="57"/>
      <c r="I479" s="56"/>
      <c r="J479" s="56"/>
      <c r="K479" s="56"/>
      <c r="L479" s="56" t="s">
        <v>619</v>
      </c>
      <c r="M479" s="56">
        <v>3.8</v>
      </c>
      <c r="N479" s="56">
        <v>13.6</v>
      </c>
      <c r="O479" s="57">
        <v>51680</v>
      </c>
      <c r="P479" s="56">
        <v>0</v>
      </c>
      <c r="Q479" s="56">
        <v>0</v>
      </c>
      <c r="R479" s="56">
        <v>3.8</v>
      </c>
      <c r="S479" s="56">
        <v>51.68</v>
      </c>
      <c r="T479" s="56">
        <v>0</v>
      </c>
      <c r="U479" s="56">
        <v>0</v>
      </c>
      <c r="V479" s="56">
        <v>3.8</v>
      </c>
      <c r="W479" s="56">
        <v>51.68</v>
      </c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</row>
    <row r="480" spans="1:39" x14ac:dyDescent="0.4">
      <c r="A480" s="56"/>
      <c r="B480" s="59"/>
      <c r="C480" s="56"/>
      <c r="D480" s="56"/>
      <c r="E480" s="56"/>
      <c r="F480" s="57"/>
      <c r="G480" s="57"/>
      <c r="H480" s="57"/>
      <c r="I480" s="56"/>
      <c r="J480" s="56"/>
      <c r="K480" s="56"/>
      <c r="L480" s="56" t="s">
        <v>620</v>
      </c>
      <c r="M480" s="56">
        <v>1.4</v>
      </c>
      <c r="N480" s="56">
        <v>28</v>
      </c>
      <c r="O480" s="57">
        <v>39200</v>
      </c>
      <c r="P480" s="56">
        <v>1</v>
      </c>
      <c r="Q480" s="56">
        <v>28</v>
      </c>
      <c r="R480" s="56">
        <v>0.4</v>
      </c>
      <c r="S480" s="56">
        <v>11.2</v>
      </c>
      <c r="T480" s="56">
        <v>1</v>
      </c>
      <c r="U480" s="56">
        <v>28</v>
      </c>
      <c r="V480" s="56">
        <v>0.4</v>
      </c>
      <c r="W480" s="56">
        <v>11.2</v>
      </c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</row>
    <row r="481" spans="1:39" x14ac:dyDescent="0.4">
      <c r="A481" s="56"/>
      <c r="B481" s="59"/>
      <c r="C481" s="56"/>
      <c r="D481" s="56"/>
      <c r="E481" s="56"/>
      <c r="F481" s="57"/>
      <c r="G481" s="57"/>
      <c r="H481" s="57"/>
      <c r="I481" s="56"/>
      <c r="J481" s="56"/>
      <c r="K481" s="56"/>
      <c r="L481" s="56" t="s">
        <v>621</v>
      </c>
      <c r="M481" s="56">
        <v>0.8</v>
      </c>
      <c r="N481" s="56">
        <v>5</v>
      </c>
      <c r="O481" s="57">
        <v>4000</v>
      </c>
      <c r="P481" s="56">
        <v>0.6</v>
      </c>
      <c r="Q481" s="56">
        <v>3</v>
      </c>
      <c r="R481" s="56">
        <v>0.2</v>
      </c>
      <c r="S481" s="56">
        <v>1</v>
      </c>
      <c r="T481" s="56">
        <v>0.6</v>
      </c>
      <c r="U481" s="56">
        <v>3</v>
      </c>
      <c r="V481" s="56">
        <v>0.2</v>
      </c>
      <c r="W481" s="56">
        <v>1</v>
      </c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</row>
    <row r="482" spans="1:39" x14ac:dyDescent="0.4">
      <c r="A482" s="56"/>
      <c r="B482" s="59"/>
      <c r="C482" s="56"/>
      <c r="D482" s="56"/>
      <c r="E482" s="56"/>
      <c r="F482" s="57"/>
      <c r="G482" s="57"/>
      <c r="H482" s="57"/>
      <c r="I482" s="56"/>
      <c r="J482" s="56"/>
      <c r="K482" s="56"/>
      <c r="L482" s="56" t="s">
        <v>622</v>
      </c>
      <c r="M482" s="56"/>
      <c r="N482" s="56"/>
      <c r="O482" s="57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</row>
    <row r="483" spans="1:39" x14ac:dyDescent="0.4">
      <c r="A483" s="56"/>
      <c r="B483" s="59"/>
      <c r="C483" s="56"/>
      <c r="D483" s="56"/>
      <c r="E483" s="56"/>
      <c r="F483" s="57"/>
      <c r="G483" s="57"/>
      <c r="H483" s="57"/>
      <c r="I483" s="56"/>
      <c r="J483" s="56"/>
      <c r="K483" s="56"/>
      <c r="L483" s="56" t="s">
        <v>623</v>
      </c>
      <c r="M483" s="56">
        <v>3.2</v>
      </c>
      <c r="N483" s="56">
        <v>30</v>
      </c>
      <c r="O483" s="57">
        <v>96000</v>
      </c>
      <c r="P483" s="56">
        <v>0</v>
      </c>
      <c r="Q483" s="56">
        <v>0</v>
      </c>
      <c r="R483" s="56">
        <v>3.2</v>
      </c>
      <c r="S483" s="56">
        <v>96</v>
      </c>
      <c r="T483" s="56">
        <v>0</v>
      </c>
      <c r="U483" s="56">
        <v>0</v>
      </c>
      <c r="V483" s="56">
        <v>3.2</v>
      </c>
      <c r="W483" s="56">
        <v>96</v>
      </c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</row>
    <row r="484" spans="1:39" x14ac:dyDescent="0.4">
      <c r="A484" s="56"/>
      <c r="B484" s="59"/>
      <c r="C484" s="56"/>
      <c r="D484" s="56"/>
      <c r="E484" s="56"/>
      <c r="F484" s="57"/>
      <c r="G484" s="57"/>
      <c r="H484" s="57"/>
      <c r="I484" s="56"/>
      <c r="J484" s="56"/>
      <c r="K484" s="56"/>
      <c r="L484" s="56" t="s">
        <v>624</v>
      </c>
      <c r="M484" s="56">
        <v>1.6</v>
      </c>
      <c r="N484" s="56">
        <v>6</v>
      </c>
      <c r="O484" s="57">
        <v>9600</v>
      </c>
      <c r="P484" s="56">
        <v>0</v>
      </c>
      <c r="Q484" s="56">
        <v>0</v>
      </c>
      <c r="R484" s="56">
        <v>1.6</v>
      </c>
      <c r="S484" s="56">
        <v>9.6</v>
      </c>
      <c r="T484" s="56">
        <v>0</v>
      </c>
      <c r="U484" s="56">
        <v>0</v>
      </c>
      <c r="V484" s="56">
        <v>1.6</v>
      </c>
      <c r="W484" s="56">
        <v>9.6</v>
      </c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</row>
    <row r="485" spans="1:39" x14ac:dyDescent="0.4">
      <c r="A485" s="56"/>
      <c r="B485" s="59"/>
      <c r="C485" s="56"/>
      <c r="D485" s="56"/>
      <c r="E485" s="56"/>
      <c r="F485" s="57"/>
      <c r="G485" s="57"/>
      <c r="H485" s="57"/>
      <c r="I485" s="56"/>
      <c r="J485" s="56"/>
      <c r="K485" s="56"/>
      <c r="L485" s="56" t="s">
        <v>625</v>
      </c>
      <c r="M485" s="56"/>
      <c r="N485" s="56"/>
      <c r="O485" s="57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</row>
    <row r="486" spans="1:39" x14ac:dyDescent="0.4">
      <c r="A486" s="56"/>
      <c r="B486" s="59"/>
      <c r="C486" s="56"/>
      <c r="D486" s="56"/>
      <c r="E486" s="56"/>
      <c r="F486" s="57"/>
      <c r="G486" s="57"/>
      <c r="H486" s="57"/>
      <c r="I486" s="56"/>
      <c r="J486" s="56"/>
      <c r="K486" s="56"/>
      <c r="L486" s="56" t="s">
        <v>626</v>
      </c>
      <c r="M486" s="56">
        <v>4.5999999999999996</v>
      </c>
      <c r="N486" s="56">
        <v>6</v>
      </c>
      <c r="O486" s="57">
        <v>27600</v>
      </c>
      <c r="P486" s="56">
        <v>0</v>
      </c>
      <c r="Q486" s="56">
        <v>0</v>
      </c>
      <c r="R486" s="56">
        <v>4.5999999999999996</v>
      </c>
      <c r="S486" s="56">
        <v>27.6</v>
      </c>
      <c r="T486" s="56">
        <v>0</v>
      </c>
      <c r="U486" s="56">
        <v>0</v>
      </c>
      <c r="V486" s="56">
        <v>4.5999999999999996</v>
      </c>
      <c r="W486" s="56">
        <v>27.6</v>
      </c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</row>
    <row r="487" spans="1:39" x14ac:dyDescent="0.4">
      <c r="A487" s="56"/>
      <c r="B487" s="59"/>
      <c r="C487" s="56"/>
      <c r="D487" s="56"/>
      <c r="E487" s="56"/>
      <c r="F487" s="57"/>
      <c r="G487" s="57"/>
      <c r="H487" s="57"/>
      <c r="I487" s="56"/>
      <c r="J487" s="56"/>
      <c r="K487" s="56"/>
      <c r="L487" s="56" t="s">
        <v>981</v>
      </c>
      <c r="M487" s="56">
        <v>-1.4</v>
      </c>
      <c r="N487" s="56">
        <v>1</v>
      </c>
      <c r="O487" s="57">
        <v>-1400</v>
      </c>
      <c r="P487" s="56">
        <v>0</v>
      </c>
      <c r="Q487" s="56">
        <v>0</v>
      </c>
      <c r="R487" s="56">
        <v>-1.4</v>
      </c>
      <c r="S487" s="56">
        <v>-1.4</v>
      </c>
      <c r="T487" s="56">
        <v>0</v>
      </c>
      <c r="U487" s="56">
        <v>0</v>
      </c>
      <c r="V487" s="56">
        <v>-1.4</v>
      </c>
      <c r="W487" s="56">
        <v>-1.4</v>
      </c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</row>
    <row r="488" spans="1:39" x14ac:dyDescent="0.4">
      <c r="A488" s="56"/>
      <c r="B488" s="59"/>
      <c r="C488" s="56"/>
      <c r="D488" s="56"/>
      <c r="E488" s="56"/>
      <c r="F488" s="57"/>
      <c r="G488" s="57"/>
      <c r="H488" s="57"/>
      <c r="I488" s="56"/>
      <c r="J488" s="56"/>
      <c r="K488" s="56"/>
      <c r="L488" s="56" t="s">
        <v>627</v>
      </c>
      <c r="M488" s="56">
        <v>4.5999999999999996</v>
      </c>
      <c r="N488" s="56">
        <v>6</v>
      </c>
      <c r="O488" s="57">
        <v>27600</v>
      </c>
      <c r="P488" s="56">
        <v>0</v>
      </c>
      <c r="Q488" s="56">
        <v>0</v>
      </c>
      <c r="R488" s="56">
        <v>4.5999999999999996</v>
      </c>
      <c r="S488" s="56">
        <v>27.6</v>
      </c>
      <c r="T488" s="56">
        <v>0</v>
      </c>
      <c r="U488" s="56">
        <v>0</v>
      </c>
      <c r="V488" s="56">
        <v>4.5999999999999996</v>
      </c>
      <c r="W488" s="56">
        <v>27.6</v>
      </c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</row>
    <row r="489" spans="1:39" x14ac:dyDescent="0.4">
      <c r="A489" s="56"/>
      <c r="B489" s="59"/>
      <c r="C489" s="56"/>
      <c r="D489" s="56"/>
      <c r="E489" s="56"/>
      <c r="F489" s="57"/>
      <c r="G489" s="57"/>
      <c r="H489" s="57"/>
      <c r="I489" s="56"/>
      <c r="J489" s="56"/>
      <c r="K489" s="56"/>
      <c r="L489" s="56" t="s">
        <v>771</v>
      </c>
      <c r="M489" s="56"/>
      <c r="N489" s="56"/>
      <c r="O489" s="57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</row>
    <row r="490" spans="1:39" x14ac:dyDescent="0.4">
      <c r="A490" s="56"/>
      <c r="B490" s="59"/>
      <c r="C490" s="56"/>
      <c r="D490" s="56"/>
      <c r="E490" s="56"/>
      <c r="F490" s="57"/>
      <c r="G490" s="57"/>
      <c r="H490" s="57"/>
      <c r="I490" s="56"/>
      <c r="J490" s="56" t="s">
        <v>243</v>
      </c>
      <c r="K490" s="56"/>
      <c r="L490" s="56" t="s">
        <v>827</v>
      </c>
      <c r="M490" s="56">
        <v>300</v>
      </c>
      <c r="N490" s="56">
        <v>1</v>
      </c>
      <c r="O490" s="57">
        <v>300000</v>
      </c>
      <c r="P490" s="56">
        <v>0</v>
      </c>
      <c r="Q490" s="56">
        <v>0</v>
      </c>
      <c r="R490" s="56">
        <v>300</v>
      </c>
      <c r="S490" s="56">
        <v>300</v>
      </c>
      <c r="T490" s="56">
        <v>0</v>
      </c>
      <c r="U490" s="56">
        <v>0</v>
      </c>
      <c r="V490" s="56">
        <v>300</v>
      </c>
      <c r="W490" s="56">
        <v>300</v>
      </c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</row>
    <row r="491" spans="1:39" x14ac:dyDescent="0.4">
      <c r="A491" s="56"/>
      <c r="B491" s="59"/>
      <c r="C491" s="56"/>
      <c r="D491" s="56"/>
      <c r="E491" s="56"/>
      <c r="F491" s="57"/>
      <c r="G491" s="57"/>
      <c r="H491" s="57"/>
      <c r="I491" s="56"/>
      <c r="J491" s="56"/>
      <c r="K491" s="56" t="s">
        <v>628</v>
      </c>
      <c r="L491" s="56"/>
      <c r="M491" s="56"/>
      <c r="N491" s="56"/>
      <c r="O491" s="57">
        <v>2106680</v>
      </c>
      <c r="P491" s="56"/>
      <c r="Q491" s="56">
        <v>31</v>
      </c>
      <c r="R491" s="56"/>
      <c r="S491" s="56">
        <v>2075.6799999999998</v>
      </c>
      <c r="T491" s="56"/>
      <c r="U491" s="56">
        <v>31</v>
      </c>
      <c r="V491" s="56"/>
      <c r="W491" s="56">
        <v>2075.6799999999998</v>
      </c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</row>
    <row r="492" spans="1:39" x14ac:dyDescent="0.4">
      <c r="A492" s="56"/>
      <c r="B492" s="59"/>
      <c r="C492" s="56"/>
      <c r="D492" s="56"/>
      <c r="E492" s="56"/>
      <c r="F492" s="57"/>
      <c r="G492" s="57"/>
      <c r="H492" s="57"/>
      <c r="I492" s="56"/>
      <c r="J492" s="56"/>
      <c r="K492" s="56" t="s">
        <v>629</v>
      </c>
      <c r="L492" s="56"/>
      <c r="M492" s="56"/>
      <c r="N492" s="56"/>
      <c r="O492" s="57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</row>
    <row r="493" spans="1:39" x14ac:dyDescent="0.4">
      <c r="A493" s="56"/>
      <c r="B493" s="59"/>
      <c r="C493" s="56"/>
      <c r="D493" s="56"/>
      <c r="E493" s="56"/>
      <c r="F493" s="57"/>
      <c r="G493" s="57"/>
      <c r="H493" s="57"/>
      <c r="I493" s="56"/>
      <c r="J493" s="56"/>
      <c r="K493" s="56" t="s">
        <v>630</v>
      </c>
      <c r="L493" s="56"/>
      <c r="M493" s="56"/>
      <c r="N493" s="56"/>
      <c r="O493" s="57">
        <v>0</v>
      </c>
      <c r="P493" s="56"/>
      <c r="Q493" s="56">
        <v>0</v>
      </c>
      <c r="R493" s="56"/>
      <c r="S493" s="56">
        <v>0</v>
      </c>
      <c r="T493" s="56"/>
      <c r="U493" s="56">
        <v>0</v>
      </c>
      <c r="V493" s="56"/>
      <c r="W493" s="56">
        <v>0</v>
      </c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</row>
    <row r="494" spans="1:39" x14ac:dyDescent="0.4">
      <c r="A494" s="56"/>
      <c r="B494" s="59"/>
      <c r="C494" s="56"/>
      <c r="D494" s="56"/>
      <c r="E494" s="56"/>
      <c r="F494" s="57"/>
      <c r="G494" s="57"/>
      <c r="H494" s="57"/>
      <c r="I494" s="56"/>
      <c r="J494" s="56" t="s">
        <v>232</v>
      </c>
      <c r="K494" s="56"/>
      <c r="L494" s="56"/>
      <c r="M494" s="56"/>
      <c r="N494" s="56"/>
      <c r="O494" s="57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</row>
    <row r="495" spans="1:39" x14ac:dyDescent="0.4">
      <c r="A495" s="56"/>
      <c r="B495" s="59"/>
      <c r="C495" s="56"/>
      <c r="D495" s="56"/>
      <c r="E495" s="56"/>
      <c r="F495" s="57"/>
      <c r="G495" s="57"/>
      <c r="H495" s="57"/>
      <c r="I495" s="56"/>
      <c r="J495" s="56"/>
      <c r="K495" s="56" t="s">
        <v>286</v>
      </c>
      <c r="L495" s="56"/>
      <c r="M495" s="56"/>
      <c r="N495" s="56"/>
      <c r="O495" s="57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</row>
    <row r="496" spans="1:39" x14ac:dyDescent="0.4">
      <c r="A496" s="56"/>
      <c r="B496" s="59"/>
      <c r="C496" s="56"/>
      <c r="D496" s="56"/>
      <c r="E496" s="56"/>
      <c r="F496" s="57"/>
      <c r="G496" s="57"/>
      <c r="H496" s="57"/>
      <c r="I496" s="56"/>
      <c r="J496" s="56"/>
      <c r="K496" s="56" t="s">
        <v>286</v>
      </c>
      <c r="L496" s="56"/>
      <c r="M496" s="56"/>
      <c r="N496" s="56"/>
      <c r="O496" s="57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</row>
    <row r="497" spans="1:39" x14ac:dyDescent="0.4">
      <c r="A497" s="56"/>
      <c r="B497" s="59"/>
      <c r="C497" s="56"/>
      <c r="D497" s="56"/>
      <c r="E497" s="56"/>
      <c r="F497" s="57"/>
      <c r="G497" s="57"/>
      <c r="H497" s="57"/>
      <c r="I497" s="56"/>
      <c r="J497" s="56"/>
      <c r="K497" s="56"/>
      <c r="L497" s="56" t="s">
        <v>631</v>
      </c>
      <c r="M497" s="56"/>
      <c r="N497" s="56"/>
      <c r="O497" s="57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</row>
    <row r="498" spans="1:39" x14ac:dyDescent="0.4">
      <c r="A498" s="56"/>
      <c r="B498" s="59"/>
      <c r="C498" s="56"/>
      <c r="D498" s="56"/>
      <c r="E498" s="56"/>
      <c r="F498" s="57"/>
      <c r="G498" s="57"/>
      <c r="H498" s="57"/>
      <c r="I498" s="56"/>
      <c r="J498" s="56"/>
      <c r="K498" s="56"/>
      <c r="L498" s="56" t="s">
        <v>632</v>
      </c>
      <c r="M498" s="56">
        <v>124.1</v>
      </c>
      <c r="N498" s="56">
        <v>1</v>
      </c>
      <c r="O498" s="57">
        <v>124100</v>
      </c>
      <c r="P498" s="56">
        <v>0</v>
      </c>
      <c r="Q498" s="56">
        <v>0</v>
      </c>
      <c r="R498" s="56">
        <v>124.1</v>
      </c>
      <c r="S498" s="56">
        <v>124.1</v>
      </c>
      <c r="T498" s="56">
        <v>0</v>
      </c>
      <c r="U498" s="56">
        <v>0</v>
      </c>
      <c r="V498" s="56">
        <v>124.1</v>
      </c>
      <c r="W498" s="56">
        <v>124.1</v>
      </c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</row>
    <row r="499" spans="1:39" x14ac:dyDescent="0.4">
      <c r="A499" s="56"/>
      <c r="B499" s="59"/>
      <c r="C499" s="56"/>
      <c r="D499" s="56"/>
      <c r="E499" s="56"/>
      <c r="F499" s="57"/>
      <c r="G499" s="57"/>
      <c r="H499" s="57"/>
      <c r="I499" s="56"/>
      <c r="J499" s="56"/>
      <c r="K499" s="56"/>
      <c r="L499" s="56" t="s">
        <v>633</v>
      </c>
      <c r="M499" s="56">
        <v>187.3</v>
      </c>
      <c r="N499" s="56">
        <v>1</v>
      </c>
      <c r="O499" s="57">
        <v>187300</v>
      </c>
      <c r="P499" s="56">
        <v>4.5999999999999996</v>
      </c>
      <c r="Q499" s="56">
        <v>4.5999999999999996</v>
      </c>
      <c r="R499" s="56">
        <v>182.7</v>
      </c>
      <c r="S499" s="56">
        <v>182.7</v>
      </c>
      <c r="T499" s="56">
        <v>4.5999999999999996</v>
      </c>
      <c r="U499" s="56">
        <v>4.5999999999999996</v>
      </c>
      <c r="V499" s="56">
        <v>182.7</v>
      </c>
      <c r="W499" s="56">
        <v>182.7</v>
      </c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</row>
    <row r="500" spans="1:39" x14ac:dyDescent="0.4">
      <c r="A500" s="56"/>
      <c r="B500" s="59"/>
      <c r="C500" s="56"/>
      <c r="D500" s="56"/>
      <c r="E500" s="56"/>
      <c r="F500" s="57"/>
      <c r="G500" s="57"/>
      <c r="H500" s="57"/>
      <c r="I500" s="56"/>
      <c r="J500" s="56"/>
      <c r="K500" s="56"/>
      <c r="L500" s="56" t="s">
        <v>634</v>
      </c>
      <c r="M500" s="56">
        <v>23.1</v>
      </c>
      <c r="N500" s="56">
        <v>1</v>
      </c>
      <c r="O500" s="57">
        <v>23100</v>
      </c>
      <c r="P500" s="56">
        <v>0</v>
      </c>
      <c r="Q500" s="56">
        <v>0</v>
      </c>
      <c r="R500" s="56">
        <v>23.1</v>
      </c>
      <c r="S500" s="56">
        <v>23.1</v>
      </c>
      <c r="T500" s="56">
        <v>0</v>
      </c>
      <c r="U500" s="56">
        <v>0</v>
      </c>
      <c r="V500" s="56">
        <v>23.1</v>
      </c>
      <c r="W500" s="56">
        <v>23.1</v>
      </c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</row>
    <row r="501" spans="1:39" x14ac:dyDescent="0.4">
      <c r="A501" s="56"/>
      <c r="B501" s="59"/>
      <c r="C501" s="56"/>
      <c r="D501" s="56"/>
      <c r="E501" s="56"/>
      <c r="F501" s="57"/>
      <c r="G501" s="57"/>
      <c r="H501" s="57"/>
      <c r="I501" s="56"/>
      <c r="J501" s="56"/>
      <c r="K501" s="56"/>
      <c r="L501" s="56" t="s">
        <v>635</v>
      </c>
      <c r="M501" s="56">
        <v>1.8</v>
      </c>
      <c r="N501" s="56">
        <v>104</v>
      </c>
      <c r="O501" s="57">
        <v>187200</v>
      </c>
      <c r="P501" s="56">
        <v>0</v>
      </c>
      <c r="Q501" s="56">
        <v>0</v>
      </c>
      <c r="R501" s="56">
        <v>1.8</v>
      </c>
      <c r="S501" s="56">
        <v>187.2</v>
      </c>
      <c r="T501" s="56">
        <v>0</v>
      </c>
      <c r="U501" s="56">
        <v>0</v>
      </c>
      <c r="V501" s="56">
        <v>1.8</v>
      </c>
      <c r="W501" s="56">
        <v>187.2</v>
      </c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</row>
    <row r="502" spans="1:39" x14ac:dyDescent="0.4">
      <c r="A502" s="56"/>
      <c r="B502" s="59"/>
      <c r="C502" s="56"/>
      <c r="D502" s="56"/>
      <c r="E502" s="56"/>
      <c r="F502" s="57"/>
      <c r="G502" s="57"/>
      <c r="H502" s="57"/>
      <c r="I502" s="56"/>
      <c r="J502" s="56"/>
      <c r="K502" s="56"/>
      <c r="L502" s="56" t="s">
        <v>636</v>
      </c>
      <c r="M502" s="56">
        <v>11.2</v>
      </c>
      <c r="N502" s="56">
        <v>11</v>
      </c>
      <c r="O502" s="57">
        <v>123200</v>
      </c>
      <c r="P502" s="56">
        <v>0</v>
      </c>
      <c r="Q502" s="56">
        <v>0</v>
      </c>
      <c r="R502" s="56">
        <v>11.2</v>
      </c>
      <c r="S502" s="56">
        <v>123.2</v>
      </c>
      <c r="T502" s="56">
        <v>0</v>
      </c>
      <c r="U502" s="56">
        <v>0</v>
      </c>
      <c r="V502" s="56">
        <v>11.2</v>
      </c>
      <c r="W502" s="56">
        <v>123.2</v>
      </c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</row>
    <row r="503" spans="1:39" x14ac:dyDescent="0.4">
      <c r="A503" s="56"/>
      <c r="B503" s="59"/>
      <c r="C503" s="56"/>
      <c r="D503" s="56"/>
      <c r="E503" s="56"/>
      <c r="F503" s="57"/>
      <c r="G503" s="57"/>
      <c r="H503" s="57"/>
      <c r="I503" s="56"/>
      <c r="J503" s="56"/>
      <c r="K503" s="56"/>
      <c r="L503" s="56" t="s">
        <v>637</v>
      </c>
      <c r="M503" s="56"/>
      <c r="N503" s="56"/>
      <c r="O503" s="57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</row>
    <row r="504" spans="1:39" x14ac:dyDescent="0.4">
      <c r="A504" s="56"/>
      <c r="B504" s="59"/>
      <c r="C504" s="56"/>
      <c r="D504" s="56"/>
      <c r="E504" s="56"/>
      <c r="F504" s="57"/>
      <c r="G504" s="57"/>
      <c r="H504" s="57"/>
      <c r="I504" s="56"/>
      <c r="J504" s="56"/>
      <c r="K504" s="56"/>
      <c r="L504" s="56" t="s">
        <v>638</v>
      </c>
      <c r="M504" s="56">
        <v>161.69999999999999</v>
      </c>
      <c r="N504" s="56">
        <v>1</v>
      </c>
      <c r="O504" s="57">
        <v>161700</v>
      </c>
      <c r="P504" s="56">
        <v>12.8</v>
      </c>
      <c r="Q504" s="56">
        <v>12.8</v>
      </c>
      <c r="R504" s="56">
        <v>148.9</v>
      </c>
      <c r="S504" s="56">
        <v>148.9</v>
      </c>
      <c r="T504" s="56">
        <v>12.8</v>
      </c>
      <c r="U504" s="56">
        <v>12.8</v>
      </c>
      <c r="V504" s="56">
        <v>148.9</v>
      </c>
      <c r="W504" s="56">
        <v>148.9</v>
      </c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</row>
    <row r="505" spans="1:39" x14ac:dyDescent="0.4">
      <c r="A505" s="56"/>
      <c r="B505" s="59"/>
      <c r="C505" s="56"/>
      <c r="D505" s="56"/>
      <c r="E505" s="56"/>
      <c r="F505" s="57"/>
      <c r="G505" s="57"/>
      <c r="H505" s="57"/>
      <c r="I505" s="56"/>
      <c r="J505" s="56"/>
      <c r="K505" s="56"/>
      <c r="L505" s="56" t="s">
        <v>639</v>
      </c>
      <c r="M505" s="56">
        <v>1.4</v>
      </c>
      <c r="N505" s="56">
        <v>45</v>
      </c>
      <c r="O505" s="57">
        <v>63000</v>
      </c>
      <c r="P505" s="56">
        <v>0</v>
      </c>
      <c r="Q505" s="56">
        <v>0</v>
      </c>
      <c r="R505" s="56">
        <v>1.4</v>
      </c>
      <c r="S505" s="56">
        <v>63</v>
      </c>
      <c r="T505" s="56">
        <v>0</v>
      </c>
      <c r="U505" s="56">
        <v>0</v>
      </c>
      <c r="V505" s="56">
        <v>1.4</v>
      </c>
      <c r="W505" s="56">
        <v>63</v>
      </c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</row>
    <row r="506" spans="1:39" x14ac:dyDescent="0.4">
      <c r="A506" s="56"/>
      <c r="B506" s="59"/>
      <c r="C506" s="56"/>
      <c r="D506" s="56"/>
      <c r="E506" s="56"/>
      <c r="F506" s="57"/>
      <c r="G506" s="57"/>
      <c r="H506" s="57"/>
      <c r="I506" s="56"/>
      <c r="J506" s="56"/>
      <c r="K506" s="56"/>
      <c r="L506" s="56" t="s">
        <v>640</v>
      </c>
      <c r="M506" s="56">
        <v>0.2</v>
      </c>
      <c r="N506" s="56">
        <v>3</v>
      </c>
      <c r="O506" s="57">
        <v>600</v>
      </c>
      <c r="P506" s="56">
        <v>0</v>
      </c>
      <c r="Q506" s="56">
        <v>0</v>
      </c>
      <c r="R506" s="56">
        <v>0.2</v>
      </c>
      <c r="S506" s="56">
        <v>0.6</v>
      </c>
      <c r="T506" s="56">
        <v>0</v>
      </c>
      <c r="U506" s="56">
        <v>0</v>
      </c>
      <c r="V506" s="56">
        <v>0.2</v>
      </c>
      <c r="W506" s="56">
        <v>0.6</v>
      </c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</row>
    <row r="507" spans="1:39" x14ac:dyDescent="0.4">
      <c r="A507" s="56"/>
      <c r="B507" s="59"/>
      <c r="C507" s="56"/>
      <c r="D507" s="56"/>
      <c r="E507" s="56"/>
      <c r="F507" s="57"/>
      <c r="G507" s="57"/>
      <c r="H507" s="57"/>
      <c r="I507" s="56"/>
      <c r="J507" s="56"/>
      <c r="K507" s="56"/>
      <c r="L507" s="56" t="s">
        <v>641</v>
      </c>
      <c r="M507" s="56"/>
      <c r="N507" s="56"/>
      <c r="O507" s="57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</row>
    <row r="508" spans="1:39" x14ac:dyDescent="0.4">
      <c r="A508" s="56"/>
      <c r="B508" s="59"/>
      <c r="C508" s="56"/>
      <c r="D508" s="56"/>
      <c r="E508" s="56"/>
      <c r="F508" s="57"/>
      <c r="G508" s="57"/>
      <c r="H508" s="57"/>
      <c r="I508" s="56"/>
      <c r="J508" s="56"/>
      <c r="K508" s="56" t="s">
        <v>286</v>
      </c>
      <c r="L508" s="56"/>
      <c r="M508" s="56"/>
      <c r="N508" s="56"/>
      <c r="O508" s="57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</row>
    <row r="509" spans="1:39" x14ac:dyDescent="0.4">
      <c r="A509" s="56"/>
      <c r="B509" s="59"/>
      <c r="C509" s="56"/>
      <c r="D509" s="56"/>
      <c r="E509" s="56"/>
      <c r="F509" s="57"/>
      <c r="G509" s="57"/>
      <c r="H509" s="57"/>
      <c r="I509" s="56"/>
      <c r="J509" s="56"/>
      <c r="K509" s="56"/>
      <c r="L509" s="56" t="s">
        <v>642</v>
      </c>
      <c r="M509" s="56">
        <v>1.1000000000000001</v>
      </c>
      <c r="N509" s="56">
        <v>45</v>
      </c>
      <c r="O509" s="57">
        <v>49500</v>
      </c>
      <c r="P509" s="56">
        <v>0</v>
      </c>
      <c r="Q509" s="56">
        <v>0</v>
      </c>
      <c r="R509" s="56">
        <v>1.1000000000000001</v>
      </c>
      <c r="S509" s="56">
        <v>49.5</v>
      </c>
      <c r="T509" s="56">
        <v>0</v>
      </c>
      <c r="U509" s="56">
        <v>0</v>
      </c>
      <c r="V509" s="56">
        <v>1.1000000000000001</v>
      </c>
      <c r="W509" s="56">
        <v>49.5</v>
      </c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</row>
    <row r="510" spans="1:39" x14ac:dyDescent="0.4">
      <c r="A510" s="56"/>
      <c r="B510" s="59"/>
      <c r="C510" s="56"/>
      <c r="D510" s="56"/>
      <c r="E510" s="56"/>
      <c r="F510" s="57"/>
      <c r="G510" s="57"/>
      <c r="H510" s="57"/>
      <c r="I510" s="56"/>
      <c r="J510" s="56"/>
      <c r="K510" s="56"/>
      <c r="L510" s="56" t="s">
        <v>643</v>
      </c>
      <c r="M510" s="56">
        <v>30</v>
      </c>
      <c r="N510" s="56">
        <v>1</v>
      </c>
      <c r="O510" s="57">
        <v>30000</v>
      </c>
      <c r="P510" s="56">
        <v>0</v>
      </c>
      <c r="Q510" s="56">
        <v>0</v>
      </c>
      <c r="R510" s="56">
        <v>30</v>
      </c>
      <c r="S510" s="56">
        <v>30</v>
      </c>
      <c r="T510" s="56">
        <v>0</v>
      </c>
      <c r="U510" s="56">
        <v>0</v>
      </c>
      <c r="V510" s="56">
        <v>30</v>
      </c>
      <c r="W510" s="56">
        <v>30</v>
      </c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</row>
    <row r="511" spans="1:39" x14ac:dyDescent="0.4">
      <c r="A511" s="56"/>
      <c r="B511" s="59"/>
      <c r="C511" s="56"/>
      <c r="D511" s="56"/>
      <c r="E511" s="56"/>
      <c r="F511" s="57"/>
      <c r="G511" s="57"/>
      <c r="H511" s="57"/>
      <c r="I511" s="56"/>
      <c r="J511" s="56"/>
      <c r="K511" s="56"/>
      <c r="L511" s="56" t="s">
        <v>644</v>
      </c>
      <c r="M511" s="56">
        <v>29</v>
      </c>
      <c r="N511" s="56">
        <v>1</v>
      </c>
      <c r="O511" s="57">
        <v>29000</v>
      </c>
      <c r="P511" s="56">
        <v>0</v>
      </c>
      <c r="Q511" s="56">
        <v>0</v>
      </c>
      <c r="R511" s="56">
        <v>29</v>
      </c>
      <c r="S511" s="56">
        <v>29</v>
      </c>
      <c r="T511" s="56">
        <v>0</v>
      </c>
      <c r="U511" s="56">
        <v>0</v>
      </c>
      <c r="V511" s="56">
        <v>29</v>
      </c>
      <c r="W511" s="56">
        <v>29</v>
      </c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</row>
    <row r="512" spans="1:39" x14ac:dyDescent="0.4">
      <c r="A512" s="56"/>
      <c r="B512" s="59"/>
      <c r="C512" s="56"/>
      <c r="D512" s="56"/>
      <c r="E512" s="56"/>
      <c r="F512" s="57"/>
      <c r="G512" s="57"/>
      <c r="H512" s="57"/>
      <c r="I512" s="56"/>
      <c r="J512" s="56"/>
      <c r="K512" s="56"/>
      <c r="L512" s="56" t="s">
        <v>645</v>
      </c>
      <c r="M512" s="56">
        <v>20</v>
      </c>
      <c r="N512" s="56">
        <v>1</v>
      </c>
      <c r="O512" s="57">
        <v>20000</v>
      </c>
      <c r="P512" s="56">
        <v>0</v>
      </c>
      <c r="Q512" s="56">
        <v>0</v>
      </c>
      <c r="R512" s="56">
        <v>20</v>
      </c>
      <c r="S512" s="56">
        <v>20</v>
      </c>
      <c r="T512" s="56">
        <v>0</v>
      </c>
      <c r="U512" s="56">
        <v>0</v>
      </c>
      <c r="V512" s="56">
        <v>20</v>
      </c>
      <c r="W512" s="56">
        <v>20</v>
      </c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</row>
    <row r="513" spans="1:39" x14ac:dyDescent="0.4">
      <c r="A513" s="56"/>
      <c r="B513" s="59"/>
      <c r="C513" s="56"/>
      <c r="D513" s="56"/>
      <c r="E513" s="56"/>
      <c r="F513" s="57"/>
      <c r="G513" s="57"/>
      <c r="H513" s="57"/>
      <c r="I513" s="56"/>
      <c r="J513" s="56"/>
      <c r="K513" s="56"/>
      <c r="L513" s="56" t="s">
        <v>646</v>
      </c>
      <c r="M513" s="56">
        <v>31</v>
      </c>
      <c r="N513" s="56">
        <v>1</v>
      </c>
      <c r="O513" s="57">
        <v>31000</v>
      </c>
      <c r="P513" s="56">
        <v>0</v>
      </c>
      <c r="Q513" s="56">
        <v>0</v>
      </c>
      <c r="R513" s="56">
        <v>31</v>
      </c>
      <c r="S513" s="56">
        <v>31</v>
      </c>
      <c r="T513" s="56">
        <v>0</v>
      </c>
      <c r="U513" s="56">
        <v>0</v>
      </c>
      <c r="V513" s="56">
        <v>31</v>
      </c>
      <c r="W513" s="56">
        <v>31</v>
      </c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</row>
    <row r="514" spans="1:39" x14ac:dyDescent="0.4">
      <c r="A514" s="56"/>
      <c r="B514" s="59"/>
      <c r="C514" s="56"/>
      <c r="D514" s="56"/>
      <c r="E514" s="56"/>
      <c r="F514" s="57"/>
      <c r="G514" s="57"/>
      <c r="H514" s="57"/>
      <c r="I514" s="56"/>
      <c r="J514" s="56"/>
      <c r="K514" s="56"/>
      <c r="L514" s="56" t="s">
        <v>647</v>
      </c>
      <c r="M514" s="56">
        <v>0.25</v>
      </c>
      <c r="N514" s="56">
        <v>104</v>
      </c>
      <c r="O514" s="57">
        <v>26000</v>
      </c>
      <c r="P514" s="56">
        <v>0</v>
      </c>
      <c r="Q514" s="56">
        <v>0</v>
      </c>
      <c r="R514" s="56">
        <v>0.25</v>
      </c>
      <c r="S514" s="56">
        <v>26</v>
      </c>
      <c r="T514" s="56">
        <v>0</v>
      </c>
      <c r="U514" s="56">
        <v>0</v>
      </c>
      <c r="V514" s="56">
        <v>0.25</v>
      </c>
      <c r="W514" s="56">
        <v>26</v>
      </c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</row>
    <row r="515" spans="1:39" x14ac:dyDescent="0.4">
      <c r="A515" s="56"/>
      <c r="B515" s="59"/>
      <c r="C515" s="56"/>
      <c r="D515" s="56"/>
      <c r="E515" s="56"/>
      <c r="F515" s="57"/>
      <c r="G515" s="57"/>
      <c r="H515" s="57"/>
      <c r="I515" s="56"/>
      <c r="J515" s="56" t="s">
        <v>243</v>
      </c>
      <c r="K515" s="56"/>
      <c r="L515" s="56" t="s">
        <v>648</v>
      </c>
      <c r="M515" s="56">
        <v>38</v>
      </c>
      <c r="N515" s="56">
        <v>1</v>
      </c>
      <c r="O515" s="57">
        <v>38000</v>
      </c>
      <c r="P515" s="56">
        <v>0</v>
      </c>
      <c r="Q515" s="56">
        <v>0</v>
      </c>
      <c r="R515" s="56">
        <v>38</v>
      </c>
      <c r="S515" s="56">
        <v>38</v>
      </c>
      <c r="T515" s="56">
        <v>0</v>
      </c>
      <c r="U515" s="56">
        <v>0</v>
      </c>
      <c r="V515" s="56">
        <v>38</v>
      </c>
      <c r="W515" s="56">
        <v>38</v>
      </c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</row>
    <row r="516" spans="1:39" x14ac:dyDescent="0.4">
      <c r="A516" s="56"/>
      <c r="B516" s="59"/>
      <c r="C516" s="56"/>
      <c r="D516" s="56"/>
      <c r="E516" s="56"/>
      <c r="F516" s="57"/>
      <c r="G516" s="57"/>
      <c r="H516" s="57"/>
      <c r="I516" s="56"/>
      <c r="J516" s="56"/>
      <c r="K516" s="56" t="s">
        <v>649</v>
      </c>
      <c r="L516" s="56"/>
      <c r="M516" s="56"/>
      <c r="N516" s="56"/>
      <c r="O516" s="57">
        <v>1093700</v>
      </c>
      <c r="P516" s="56"/>
      <c r="Q516" s="56">
        <v>17.399999999999999</v>
      </c>
      <c r="R516" s="56"/>
      <c r="S516" s="56">
        <v>1076.3</v>
      </c>
      <c r="T516" s="56"/>
      <c r="U516" s="56">
        <v>17.399999999999999</v>
      </c>
      <c r="V516" s="56"/>
      <c r="W516" s="56">
        <v>1076.3</v>
      </c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</row>
    <row r="517" spans="1:39" x14ac:dyDescent="0.4">
      <c r="A517" s="56"/>
      <c r="B517" s="59"/>
      <c r="C517" s="56"/>
      <c r="D517" s="56"/>
      <c r="E517" s="56"/>
      <c r="F517" s="57"/>
      <c r="G517" s="57"/>
      <c r="H517" s="57"/>
      <c r="I517" s="56"/>
      <c r="J517" s="56" t="s">
        <v>76</v>
      </c>
      <c r="K517" s="56"/>
      <c r="L517" s="56"/>
      <c r="M517" s="56"/>
      <c r="N517" s="56"/>
      <c r="O517" s="57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</row>
    <row r="518" spans="1:39" x14ac:dyDescent="0.4">
      <c r="A518" s="56"/>
      <c r="B518" s="59"/>
      <c r="C518" s="56"/>
      <c r="D518" s="56"/>
      <c r="E518" s="56"/>
      <c r="F518" s="57"/>
      <c r="G518" s="57"/>
      <c r="H518" s="57"/>
      <c r="I518" s="56"/>
      <c r="J518" s="56"/>
      <c r="K518" s="56" t="s">
        <v>650</v>
      </c>
      <c r="L518" s="56"/>
      <c r="M518" s="56"/>
      <c r="N518" s="56"/>
      <c r="O518" s="57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</row>
    <row r="519" spans="1:39" x14ac:dyDescent="0.4">
      <c r="A519" s="56"/>
      <c r="B519" s="59"/>
      <c r="C519" s="56"/>
      <c r="D519" s="56"/>
      <c r="E519" s="56"/>
      <c r="F519" s="57"/>
      <c r="G519" s="57"/>
      <c r="H519" s="57"/>
      <c r="I519" s="56"/>
      <c r="J519" s="56"/>
      <c r="K519" s="56"/>
      <c r="L519" s="56" t="s">
        <v>651</v>
      </c>
      <c r="M519" s="56"/>
      <c r="N519" s="56"/>
      <c r="O519" s="57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</row>
    <row r="520" spans="1:39" x14ac:dyDescent="0.4">
      <c r="A520" s="56"/>
      <c r="B520" s="59"/>
      <c r="C520" s="56"/>
      <c r="D520" s="56"/>
      <c r="E520" s="56"/>
      <c r="F520" s="57"/>
      <c r="G520" s="57"/>
      <c r="H520" s="57"/>
      <c r="I520" s="56"/>
      <c r="J520" s="56"/>
      <c r="K520" s="56"/>
      <c r="L520" s="56" t="s">
        <v>652</v>
      </c>
      <c r="M520" s="56">
        <v>1.6</v>
      </c>
      <c r="N520" s="56">
        <v>104</v>
      </c>
      <c r="O520" s="57">
        <v>166400</v>
      </c>
      <c r="P520" s="56">
        <v>0</v>
      </c>
      <c r="Q520" s="56">
        <v>0</v>
      </c>
      <c r="R520" s="56">
        <v>1.6</v>
      </c>
      <c r="S520" s="56">
        <v>166.4</v>
      </c>
      <c r="T520" s="56">
        <v>0</v>
      </c>
      <c r="U520" s="56">
        <v>0</v>
      </c>
      <c r="V520" s="56">
        <v>1.6</v>
      </c>
      <c r="W520" s="56">
        <v>166.4</v>
      </c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</row>
    <row r="521" spans="1:39" x14ac:dyDescent="0.4">
      <c r="A521" s="56"/>
      <c r="B521" s="59"/>
      <c r="C521" s="56"/>
      <c r="D521" s="56"/>
      <c r="E521" s="56"/>
      <c r="F521" s="57"/>
      <c r="G521" s="57"/>
      <c r="H521" s="57"/>
      <c r="I521" s="56"/>
      <c r="J521" s="56"/>
      <c r="K521" s="56"/>
      <c r="L521" s="56" t="s">
        <v>653</v>
      </c>
      <c r="M521" s="56">
        <v>21</v>
      </c>
      <c r="N521" s="56">
        <v>1</v>
      </c>
      <c r="O521" s="57">
        <v>21000</v>
      </c>
      <c r="P521" s="56">
        <v>0</v>
      </c>
      <c r="Q521" s="56">
        <v>0</v>
      </c>
      <c r="R521" s="56">
        <v>21</v>
      </c>
      <c r="S521" s="56">
        <v>21</v>
      </c>
      <c r="T521" s="56">
        <v>0</v>
      </c>
      <c r="U521" s="56">
        <v>0</v>
      </c>
      <c r="V521" s="56">
        <v>21</v>
      </c>
      <c r="W521" s="56">
        <v>21</v>
      </c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</row>
    <row r="522" spans="1:39" x14ac:dyDescent="0.4">
      <c r="A522" s="56"/>
      <c r="B522" s="59"/>
      <c r="C522" s="56"/>
      <c r="D522" s="56"/>
      <c r="E522" s="56"/>
      <c r="F522" s="57"/>
      <c r="G522" s="57"/>
      <c r="H522" s="57"/>
      <c r="I522" s="56"/>
      <c r="J522" s="56"/>
      <c r="K522" s="56"/>
      <c r="L522" s="56" t="s">
        <v>654</v>
      </c>
      <c r="M522" s="56">
        <v>3.5</v>
      </c>
      <c r="N522" s="56">
        <v>11</v>
      </c>
      <c r="O522" s="57">
        <v>38500</v>
      </c>
      <c r="P522" s="56">
        <v>0</v>
      </c>
      <c r="Q522" s="56">
        <v>0</v>
      </c>
      <c r="R522" s="56">
        <v>3.5</v>
      </c>
      <c r="S522" s="56">
        <v>38.5</v>
      </c>
      <c r="T522" s="56">
        <v>0</v>
      </c>
      <c r="U522" s="56">
        <v>0</v>
      </c>
      <c r="V522" s="56">
        <v>3.5</v>
      </c>
      <c r="W522" s="56">
        <v>38.5</v>
      </c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</row>
    <row r="523" spans="1:39" x14ac:dyDescent="0.4">
      <c r="A523" s="56"/>
      <c r="B523" s="59"/>
      <c r="C523" s="56"/>
      <c r="D523" s="56"/>
      <c r="E523" s="56"/>
      <c r="F523" s="57"/>
      <c r="G523" s="57"/>
      <c r="H523" s="57"/>
      <c r="I523" s="56"/>
      <c r="J523" s="56"/>
      <c r="K523" s="56" t="s">
        <v>655</v>
      </c>
      <c r="L523" s="56"/>
      <c r="M523" s="56"/>
      <c r="N523" s="56"/>
      <c r="O523" s="57">
        <v>225900</v>
      </c>
      <c r="P523" s="56"/>
      <c r="Q523" s="56">
        <v>0</v>
      </c>
      <c r="R523" s="56"/>
      <c r="S523" s="56">
        <v>225.9</v>
      </c>
      <c r="T523" s="56"/>
      <c r="U523" s="56">
        <v>0</v>
      </c>
      <c r="V523" s="56"/>
      <c r="W523" s="56">
        <v>225.9</v>
      </c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</row>
    <row r="524" spans="1:39" x14ac:dyDescent="0.4">
      <c r="A524" s="56"/>
      <c r="B524" s="59"/>
      <c r="C524" s="56"/>
      <c r="D524" s="56"/>
      <c r="E524" s="56"/>
      <c r="F524" s="57"/>
      <c r="G524" s="57"/>
      <c r="H524" s="57"/>
      <c r="I524" s="56"/>
      <c r="J524" s="56"/>
      <c r="K524" s="56" t="s">
        <v>656</v>
      </c>
      <c r="L524" s="56"/>
      <c r="M524" s="56"/>
      <c r="N524" s="56"/>
      <c r="O524" s="57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</row>
    <row r="525" spans="1:39" x14ac:dyDescent="0.4">
      <c r="A525" s="56"/>
      <c r="B525" s="59"/>
      <c r="C525" s="56"/>
      <c r="D525" s="56"/>
      <c r="E525" s="56"/>
      <c r="F525" s="57"/>
      <c r="G525" s="57"/>
      <c r="H525" s="57"/>
      <c r="I525" s="56"/>
      <c r="J525" s="56"/>
      <c r="K525" s="56"/>
      <c r="L525" s="56" t="s">
        <v>657</v>
      </c>
      <c r="M525" s="56"/>
      <c r="N525" s="56"/>
      <c r="O525" s="57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</row>
    <row r="526" spans="1:39" x14ac:dyDescent="0.4">
      <c r="A526" s="56"/>
      <c r="B526" s="59"/>
      <c r="C526" s="56"/>
      <c r="D526" s="56"/>
      <c r="E526" s="56"/>
      <c r="F526" s="57"/>
      <c r="G526" s="57"/>
      <c r="H526" s="57"/>
      <c r="I526" s="56"/>
      <c r="J526" s="56"/>
      <c r="K526" s="56"/>
      <c r="L526" s="56" t="s">
        <v>658</v>
      </c>
      <c r="M526" s="56">
        <v>37</v>
      </c>
      <c r="N526" s="56">
        <v>3</v>
      </c>
      <c r="O526" s="57">
        <v>111000</v>
      </c>
      <c r="P526" s="56">
        <v>0</v>
      </c>
      <c r="Q526" s="56">
        <v>0</v>
      </c>
      <c r="R526" s="56">
        <v>37</v>
      </c>
      <c r="S526" s="56">
        <v>111</v>
      </c>
      <c r="T526" s="56">
        <v>0</v>
      </c>
      <c r="U526" s="56">
        <v>0</v>
      </c>
      <c r="V526" s="56">
        <v>37</v>
      </c>
      <c r="W526" s="56">
        <v>111</v>
      </c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</row>
    <row r="527" spans="1:39" x14ac:dyDescent="0.4">
      <c r="A527" s="56"/>
      <c r="B527" s="59"/>
      <c r="C527" s="56"/>
      <c r="D527" s="56"/>
      <c r="E527" s="56"/>
      <c r="F527" s="57"/>
      <c r="G527" s="57"/>
      <c r="H527" s="57"/>
      <c r="I527" s="56"/>
      <c r="J527" s="56"/>
      <c r="K527" s="56"/>
      <c r="L527" s="56" t="s">
        <v>659</v>
      </c>
      <c r="M527" s="56">
        <v>26</v>
      </c>
      <c r="N527" s="56">
        <v>1</v>
      </c>
      <c r="O527" s="57">
        <v>26000</v>
      </c>
      <c r="P527" s="56">
        <v>0</v>
      </c>
      <c r="Q527" s="56">
        <v>0</v>
      </c>
      <c r="R527" s="56">
        <v>26</v>
      </c>
      <c r="S527" s="56">
        <v>26</v>
      </c>
      <c r="T527" s="56">
        <v>0</v>
      </c>
      <c r="U527" s="56">
        <v>0</v>
      </c>
      <c r="V527" s="56">
        <v>26</v>
      </c>
      <c r="W527" s="56">
        <v>26</v>
      </c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</row>
    <row r="528" spans="1:39" x14ac:dyDescent="0.4">
      <c r="A528" s="56"/>
      <c r="B528" s="59"/>
      <c r="C528" s="56"/>
      <c r="D528" s="56"/>
      <c r="E528" s="56"/>
      <c r="F528" s="57"/>
      <c r="G528" s="57"/>
      <c r="H528" s="57"/>
      <c r="I528" s="56"/>
      <c r="J528" s="56"/>
      <c r="K528" s="56"/>
      <c r="L528" s="56" t="s">
        <v>660</v>
      </c>
      <c r="M528" s="56">
        <v>74</v>
      </c>
      <c r="N528" s="56">
        <v>1</v>
      </c>
      <c r="O528" s="57">
        <v>74000</v>
      </c>
      <c r="P528" s="56">
        <v>0</v>
      </c>
      <c r="Q528" s="56">
        <v>0</v>
      </c>
      <c r="R528" s="56">
        <v>74</v>
      </c>
      <c r="S528" s="56">
        <v>74</v>
      </c>
      <c r="T528" s="56">
        <v>0</v>
      </c>
      <c r="U528" s="56">
        <v>0</v>
      </c>
      <c r="V528" s="56">
        <v>74</v>
      </c>
      <c r="W528" s="56">
        <v>74</v>
      </c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</row>
    <row r="529" spans="1:39" x14ac:dyDescent="0.4">
      <c r="A529" s="56"/>
      <c r="B529" s="59"/>
      <c r="C529" s="56"/>
      <c r="D529" s="56"/>
      <c r="E529" s="56"/>
      <c r="F529" s="57"/>
      <c r="G529" s="57"/>
      <c r="H529" s="57"/>
      <c r="I529" s="56"/>
      <c r="J529" s="56"/>
      <c r="K529" s="56"/>
      <c r="L529" s="56" t="s">
        <v>661</v>
      </c>
      <c r="M529" s="56">
        <v>9.3000000000000007</v>
      </c>
      <c r="N529" s="56">
        <v>45</v>
      </c>
      <c r="O529" s="57">
        <v>418500</v>
      </c>
      <c r="P529" s="56">
        <v>0</v>
      </c>
      <c r="Q529" s="56">
        <v>0</v>
      </c>
      <c r="R529" s="56">
        <v>9.3000000000000007</v>
      </c>
      <c r="S529" s="56">
        <v>418.5</v>
      </c>
      <c r="T529" s="56">
        <v>0</v>
      </c>
      <c r="U529" s="56">
        <v>0</v>
      </c>
      <c r="V529" s="56">
        <v>9.3000000000000007</v>
      </c>
      <c r="W529" s="56">
        <v>418.5</v>
      </c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</row>
    <row r="530" spans="1:39" x14ac:dyDescent="0.4">
      <c r="A530" s="56"/>
      <c r="B530" s="59"/>
      <c r="C530" s="56"/>
      <c r="D530" s="56"/>
      <c r="E530" s="56"/>
      <c r="F530" s="57"/>
      <c r="G530" s="57"/>
      <c r="H530" s="57"/>
      <c r="I530" s="56"/>
      <c r="J530" s="56"/>
      <c r="K530" s="56"/>
      <c r="L530" s="56" t="s">
        <v>662</v>
      </c>
      <c r="M530" s="56">
        <v>120</v>
      </c>
      <c r="N530" s="56">
        <v>1</v>
      </c>
      <c r="O530" s="57">
        <v>120000</v>
      </c>
      <c r="P530" s="56">
        <v>0</v>
      </c>
      <c r="Q530" s="56">
        <v>0</v>
      </c>
      <c r="R530" s="56">
        <v>120</v>
      </c>
      <c r="S530" s="56">
        <v>120</v>
      </c>
      <c r="T530" s="56">
        <v>0</v>
      </c>
      <c r="U530" s="56">
        <v>0</v>
      </c>
      <c r="V530" s="56">
        <v>120</v>
      </c>
      <c r="W530" s="56">
        <v>120</v>
      </c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</row>
    <row r="531" spans="1:39" x14ac:dyDescent="0.4">
      <c r="A531" s="56"/>
      <c r="B531" s="59"/>
      <c r="C531" s="56"/>
      <c r="D531" s="56"/>
      <c r="E531" s="56"/>
      <c r="F531" s="57"/>
      <c r="G531" s="57"/>
      <c r="H531" s="57"/>
      <c r="I531" s="56"/>
      <c r="J531" s="56"/>
      <c r="K531" s="56"/>
      <c r="L531" s="56" t="s">
        <v>982</v>
      </c>
      <c r="M531" s="56">
        <v>48.6</v>
      </c>
      <c r="N531" s="56">
        <v>1</v>
      </c>
      <c r="O531" s="57">
        <v>48600</v>
      </c>
      <c r="P531" s="56">
        <v>0</v>
      </c>
      <c r="Q531" s="56">
        <v>0</v>
      </c>
      <c r="R531" s="56">
        <v>48.6</v>
      </c>
      <c r="S531" s="56">
        <v>48.6</v>
      </c>
      <c r="T531" s="56">
        <v>0</v>
      </c>
      <c r="U531" s="56">
        <v>0</v>
      </c>
      <c r="V531" s="56">
        <v>48.6</v>
      </c>
      <c r="W531" s="56">
        <v>48.6</v>
      </c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</row>
    <row r="532" spans="1:39" x14ac:dyDescent="0.4">
      <c r="A532" s="56"/>
      <c r="B532" s="59"/>
      <c r="C532" s="56"/>
      <c r="D532" s="56"/>
      <c r="E532" s="56"/>
      <c r="F532" s="57"/>
      <c r="G532" s="57"/>
      <c r="H532" s="57"/>
      <c r="I532" s="56"/>
      <c r="J532" s="56"/>
      <c r="K532" s="56" t="s">
        <v>663</v>
      </c>
      <c r="L532" s="56"/>
      <c r="M532" s="56"/>
      <c r="N532" s="56"/>
      <c r="O532" s="57">
        <v>798100</v>
      </c>
      <c r="P532" s="56"/>
      <c r="Q532" s="56">
        <v>0</v>
      </c>
      <c r="R532" s="56"/>
      <c r="S532" s="56">
        <v>798.1</v>
      </c>
      <c r="T532" s="56"/>
      <c r="U532" s="56">
        <v>0</v>
      </c>
      <c r="V532" s="56"/>
      <c r="W532" s="56">
        <v>798.1</v>
      </c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</row>
    <row r="533" spans="1:39" x14ac:dyDescent="0.4">
      <c r="A533" s="56"/>
      <c r="B533" s="59"/>
      <c r="C533" s="56"/>
      <c r="D533" s="56"/>
      <c r="E533" s="56"/>
      <c r="F533" s="57"/>
      <c r="G533" s="57"/>
      <c r="H533" s="57"/>
      <c r="I533" s="56"/>
      <c r="J533" s="56"/>
      <c r="K533" s="56" t="s">
        <v>664</v>
      </c>
      <c r="L533" s="56"/>
      <c r="M533" s="56"/>
      <c r="N533" s="56"/>
      <c r="O533" s="57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</row>
    <row r="534" spans="1:39" x14ac:dyDescent="0.4">
      <c r="A534" s="56"/>
      <c r="B534" s="59"/>
      <c r="C534" s="56"/>
      <c r="D534" s="56"/>
      <c r="E534" s="56"/>
      <c r="F534" s="57"/>
      <c r="G534" s="57"/>
      <c r="H534" s="57"/>
      <c r="I534" s="56"/>
      <c r="J534" s="56"/>
      <c r="K534" s="56"/>
      <c r="L534" s="56" t="s">
        <v>665</v>
      </c>
      <c r="M534" s="56"/>
      <c r="N534" s="56"/>
      <c r="O534" s="57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</row>
    <row r="535" spans="1:39" x14ac:dyDescent="0.4">
      <c r="A535" s="56"/>
      <c r="B535" s="59"/>
      <c r="C535" s="56"/>
      <c r="D535" s="56"/>
      <c r="E535" s="56"/>
      <c r="F535" s="57"/>
      <c r="G535" s="57"/>
      <c r="H535" s="57"/>
      <c r="I535" s="56"/>
      <c r="J535" s="56"/>
      <c r="K535" s="56"/>
      <c r="L535" s="56" t="s">
        <v>666</v>
      </c>
      <c r="M535" s="56">
        <v>37</v>
      </c>
      <c r="N535" s="56">
        <v>3</v>
      </c>
      <c r="O535" s="57">
        <v>111000</v>
      </c>
      <c r="P535" s="56">
        <v>0</v>
      </c>
      <c r="Q535" s="56">
        <v>0</v>
      </c>
      <c r="R535" s="56">
        <v>37</v>
      </c>
      <c r="S535" s="56">
        <v>111</v>
      </c>
      <c r="T535" s="56">
        <v>0</v>
      </c>
      <c r="U535" s="56">
        <v>0</v>
      </c>
      <c r="V535" s="56">
        <v>37</v>
      </c>
      <c r="W535" s="56">
        <v>111</v>
      </c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</row>
    <row r="536" spans="1:39" x14ac:dyDescent="0.4">
      <c r="A536" s="56"/>
      <c r="B536" s="59"/>
      <c r="C536" s="56"/>
      <c r="D536" s="56"/>
      <c r="E536" s="56"/>
      <c r="F536" s="57"/>
      <c r="G536" s="57"/>
      <c r="H536" s="57"/>
      <c r="I536" s="56"/>
      <c r="J536" s="56"/>
      <c r="K536" s="56"/>
      <c r="L536" s="56" t="s">
        <v>667</v>
      </c>
      <c r="M536" s="56">
        <v>12</v>
      </c>
      <c r="N536" s="56">
        <v>1</v>
      </c>
      <c r="O536" s="57">
        <v>12000</v>
      </c>
      <c r="P536" s="56">
        <v>0</v>
      </c>
      <c r="Q536" s="56">
        <v>0</v>
      </c>
      <c r="R536" s="56">
        <v>12</v>
      </c>
      <c r="S536" s="56">
        <v>12</v>
      </c>
      <c r="T536" s="56">
        <v>0</v>
      </c>
      <c r="U536" s="56">
        <v>0</v>
      </c>
      <c r="V536" s="56">
        <v>12</v>
      </c>
      <c r="W536" s="56">
        <v>12</v>
      </c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</row>
    <row r="537" spans="1:39" x14ac:dyDescent="0.4">
      <c r="A537" s="56"/>
      <c r="B537" s="59"/>
      <c r="C537" s="56"/>
      <c r="D537" s="56"/>
      <c r="E537" s="56"/>
      <c r="F537" s="57"/>
      <c r="G537" s="57"/>
      <c r="H537" s="57"/>
      <c r="I537" s="56"/>
      <c r="J537" s="56"/>
      <c r="K537" s="56"/>
      <c r="L537" s="56" t="s">
        <v>668</v>
      </c>
      <c r="M537" s="56">
        <v>45</v>
      </c>
      <c r="N537" s="56">
        <v>1</v>
      </c>
      <c r="O537" s="57">
        <v>45000</v>
      </c>
      <c r="P537" s="56">
        <v>0</v>
      </c>
      <c r="Q537" s="56">
        <v>0</v>
      </c>
      <c r="R537" s="56">
        <v>45</v>
      </c>
      <c r="S537" s="56">
        <v>45</v>
      </c>
      <c r="T537" s="56">
        <v>0</v>
      </c>
      <c r="U537" s="56">
        <v>0</v>
      </c>
      <c r="V537" s="56">
        <v>45</v>
      </c>
      <c r="W537" s="56">
        <v>45</v>
      </c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</row>
    <row r="538" spans="1:39" x14ac:dyDescent="0.4">
      <c r="A538" s="56"/>
      <c r="B538" s="59"/>
      <c r="C538" s="56"/>
      <c r="D538" s="56"/>
      <c r="E538" s="56"/>
      <c r="F538" s="57"/>
      <c r="G538" s="57"/>
      <c r="H538" s="57"/>
      <c r="I538" s="56"/>
      <c r="J538" s="56"/>
      <c r="K538" s="56"/>
      <c r="L538" s="56" t="s">
        <v>669</v>
      </c>
      <c r="M538" s="56">
        <v>7</v>
      </c>
      <c r="N538" s="56">
        <v>24</v>
      </c>
      <c r="O538" s="57">
        <v>168000</v>
      </c>
      <c r="P538" s="56">
        <v>0</v>
      </c>
      <c r="Q538" s="56">
        <v>0</v>
      </c>
      <c r="R538" s="56">
        <v>7</v>
      </c>
      <c r="S538" s="56">
        <v>168</v>
      </c>
      <c r="T538" s="56">
        <v>0</v>
      </c>
      <c r="U538" s="56">
        <v>0</v>
      </c>
      <c r="V538" s="56">
        <v>7</v>
      </c>
      <c r="W538" s="56">
        <v>168</v>
      </c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</row>
    <row r="539" spans="1:39" x14ac:dyDescent="0.4">
      <c r="A539" s="56"/>
      <c r="B539" s="59"/>
      <c r="C539" s="56"/>
      <c r="D539" s="56"/>
      <c r="E539" s="56"/>
      <c r="F539" s="57"/>
      <c r="G539" s="57"/>
      <c r="H539" s="57"/>
      <c r="I539" s="56"/>
      <c r="J539" s="56"/>
      <c r="K539" s="56"/>
      <c r="L539" s="56" t="s">
        <v>670</v>
      </c>
      <c r="M539" s="56">
        <v>6</v>
      </c>
      <c r="N539" s="56">
        <v>24</v>
      </c>
      <c r="O539" s="57">
        <v>144000</v>
      </c>
      <c r="P539" s="56">
        <v>0</v>
      </c>
      <c r="Q539" s="56">
        <v>0</v>
      </c>
      <c r="R539" s="56">
        <v>6</v>
      </c>
      <c r="S539" s="56">
        <v>144</v>
      </c>
      <c r="T539" s="56">
        <v>0</v>
      </c>
      <c r="U539" s="56">
        <v>0</v>
      </c>
      <c r="V539" s="56">
        <v>6</v>
      </c>
      <c r="W539" s="56">
        <v>144</v>
      </c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</row>
    <row r="540" spans="1:39" x14ac:dyDescent="0.4">
      <c r="A540" s="56"/>
      <c r="B540" s="59"/>
      <c r="C540" s="56"/>
      <c r="D540" s="56"/>
      <c r="E540" s="56"/>
      <c r="F540" s="57"/>
      <c r="G540" s="57"/>
      <c r="H540" s="57"/>
      <c r="I540" s="56"/>
      <c r="J540" s="56"/>
      <c r="K540" s="56" t="s">
        <v>671</v>
      </c>
      <c r="L540" s="56"/>
      <c r="M540" s="56"/>
      <c r="N540" s="56"/>
      <c r="O540" s="57">
        <v>480000</v>
      </c>
      <c r="P540" s="56"/>
      <c r="Q540" s="56">
        <v>0</v>
      </c>
      <c r="R540" s="56"/>
      <c r="S540" s="56">
        <v>480</v>
      </c>
      <c r="T540" s="56"/>
      <c r="U540" s="56">
        <v>0</v>
      </c>
      <c r="V540" s="56"/>
      <c r="W540" s="56">
        <v>480</v>
      </c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</row>
    <row r="541" spans="1:39" x14ac:dyDescent="0.4">
      <c r="A541" s="56"/>
      <c r="B541" s="59"/>
      <c r="C541" s="56"/>
      <c r="D541" s="56"/>
      <c r="E541" s="56"/>
      <c r="F541" s="57"/>
      <c r="G541" s="57"/>
      <c r="H541" s="57"/>
      <c r="I541" s="56"/>
      <c r="J541" s="56"/>
      <c r="K541" s="56" t="s">
        <v>672</v>
      </c>
      <c r="L541" s="56"/>
      <c r="M541" s="56"/>
      <c r="N541" s="56"/>
      <c r="O541" s="57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</row>
    <row r="542" spans="1:39" x14ac:dyDescent="0.4">
      <c r="A542" s="56"/>
      <c r="B542" s="59"/>
      <c r="C542" s="56"/>
      <c r="D542" s="56"/>
      <c r="E542" s="56"/>
      <c r="F542" s="57"/>
      <c r="G542" s="57"/>
      <c r="H542" s="57"/>
      <c r="I542" s="56"/>
      <c r="J542" s="56"/>
      <c r="K542" s="56"/>
      <c r="L542" s="56" t="s">
        <v>673</v>
      </c>
      <c r="M542" s="56"/>
      <c r="N542" s="56"/>
      <c r="O542" s="57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</row>
    <row r="543" spans="1:39" x14ac:dyDescent="0.4">
      <c r="A543" s="56"/>
      <c r="B543" s="59"/>
      <c r="C543" s="56"/>
      <c r="D543" s="56"/>
      <c r="E543" s="56"/>
      <c r="F543" s="57"/>
      <c r="G543" s="57"/>
      <c r="H543" s="57"/>
      <c r="I543" s="56"/>
      <c r="J543" s="56"/>
      <c r="K543" s="56"/>
      <c r="L543" s="56" t="s">
        <v>674</v>
      </c>
      <c r="M543" s="56">
        <v>166</v>
      </c>
      <c r="N543" s="56">
        <v>1</v>
      </c>
      <c r="O543" s="57">
        <v>166000</v>
      </c>
      <c r="P543" s="56">
        <v>0</v>
      </c>
      <c r="Q543" s="56">
        <v>0</v>
      </c>
      <c r="R543" s="56">
        <v>166</v>
      </c>
      <c r="S543" s="56">
        <v>166</v>
      </c>
      <c r="T543" s="56">
        <v>0</v>
      </c>
      <c r="U543" s="56">
        <v>0</v>
      </c>
      <c r="V543" s="56">
        <v>166</v>
      </c>
      <c r="W543" s="56">
        <v>166</v>
      </c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</row>
    <row r="544" spans="1:39" x14ac:dyDescent="0.4">
      <c r="A544" s="56"/>
      <c r="B544" s="59"/>
      <c r="C544" s="56"/>
      <c r="D544" s="56"/>
      <c r="E544" s="56"/>
      <c r="F544" s="57"/>
      <c r="G544" s="57"/>
      <c r="H544" s="57"/>
      <c r="I544" s="56"/>
      <c r="J544" s="56"/>
      <c r="K544" s="56"/>
      <c r="L544" s="56" t="s">
        <v>675</v>
      </c>
      <c r="M544" s="56">
        <v>29</v>
      </c>
      <c r="N544" s="56">
        <v>1</v>
      </c>
      <c r="O544" s="57">
        <v>29000</v>
      </c>
      <c r="P544" s="56">
        <v>0</v>
      </c>
      <c r="Q544" s="56">
        <v>0</v>
      </c>
      <c r="R544" s="56">
        <v>29</v>
      </c>
      <c r="S544" s="56">
        <v>29</v>
      </c>
      <c r="T544" s="56">
        <v>0</v>
      </c>
      <c r="U544" s="56">
        <v>0</v>
      </c>
      <c r="V544" s="56">
        <v>29</v>
      </c>
      <c r="W544" s="56">
        <v>29</v>
      </c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</row>
    <row r="545" spans="1:39" x14ac:dyDescent="0.4">
      <c r="A545" s="56"/>
      <c r="B545" s="59"/>
      <c r="C545" s="56"/>
      <c r="D545" s="56"/>
      <c r="E545" s="56"/>
      <c r="F545" s="57"/>
      <c r="G545" s="57"/>
      <c r="H545" s="57"/>
      <c r="I545" s="56"/>
      <c r="J545" s="56"/>
      <c r="K545" s="56" t="s">
        <v>676</v>
      </c>
      <c r="L545" s="56"/>
      <c r="M545" s="56"/>
      <c r="N545" s="56"/>
      <c r="O545" s="57">
        <v>195000</v>
      </c>
      <c r="P545" s="56"/>
      <c r="Q545" s="56">
        <v>0</v>
      </c>
      <c r="R545" s="56"/>
      <c r="S545" s="56">
        <v>195</v>
      </c>
      <c r="T545" s="56"/>
      <c r="U545" s="56">
        <v>0</v>
      </c>
      <c r="V545" s="56"/>
      <c r="W545" s="56">
        <v>195</v>
      </c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</row>
    <row r="546" spans="1:39" x14ac:dyDescent="0.4">
      <c r="A546" s="56"/>
      <c r="B546" s="59"/>
      <c r="C546" s="56"/>
      <c r="D546" s="56"/>
      <c r="E546" s="56"/>
      <c r="F546" s="57"/>
      <c r="G546" s="57"/>
      <c r="H546" s="57"/>
      <c r="I546" s="56"/>
      <c r="J546" s="56"/>
      <c r="K546" s="56" t="s">
        <v>677</v>
      </c>
      <c r="L546" s="56"/>
      <c r="M546" s="56"/>
      <c r="N546" s="56"/>
      <c r="O546" s="57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</row>
    <row r="547" spans="1:39" x14ac:dyDescent="0.4">
      <c r="A547" s="56"/>
      <c r="B547" s="59"/>
      <c r="C547" s="56"/>
      <c r="D547" s="56"/>
      <c r="E547" s="56"/>
      <c r="F547" s="57"/>
      <c r="G547" s="57"/>
      <c r="H547" s="57"/>
      <c r="I547" s="56"/>
      <c r="J547" s="56"/>
      <c r="K547" s="56"/>
      <c r="L547" s="56" t="s">
        <v>678</v>
      </c>
      <c r="M547" s="56"/>
      <c r="N547" s="56"/>
      <c r="O547" s="57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</row>
    <row r="548" spans="1:39" x14ac:dyDescent="0.4">
      <c r="A548" s="56"/>
      <c r="B548" s="59"/>
      <c r="C548" s="56"/>
      <c r="D548" s="56"/>
      <c r="E548" s="56"/>
      <c r="F548" s="57"/>
      <c r="G548" s="57"/>
      <c r="H548" s="57"/>
      <c r="I548" s="56"/>
      <c r="J548" s="56"/>
      <c r="K548" s="56"/>
      <c r="L548" s="56" t="s">
        <v>679</v>
      </c>
      <c r="M548" s="56">
        <v>1.3</v>
      </c>
      <c r="N548" s="56">
        <v>100</v>
      </c>
      <c r="O548" s="57">
        <v>130000</v>
      </c>
      <c r="P548" s="56">
        <v>0</v>
      </c>
      <c r="Q548" s="56">
        <v>0</v>
      </c>
      <c r="R548" s="56">
        <v>1.3</v>
      </c>
      <c r="S548" s="56">
        <v>130</v>
      </c>
      <c r="T548" s="56">
        <v>0</v>
      </c>
      <c r="U548" s="56">
        <v>0</v>
      </c>
      <c r="V548" s="56">
        <v>1.3</v>
      </c>
      <c r="W548" s="56">
        <v>130</v>
      </c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</row>
    <row r="549" spans="1:39" x14ac:dyDescent="0.4">
      <c r="A549" s="56"/>
      <c r="B549" s="59"/>
      <c r="C549" s="56"/>
      <c r="D549" s="56"/>
      <c r="E549" s="56"/>
      <c r="F549" s="57"/>
      <c r="G549" s="57"/>
      <c r="H549" s="57"/>
      <c r="I549" s="56"/>
      <c r="J549" s="56"/>
      <c r="K549" s="56"/>
      <c r="L549" s="56" t="s">
        <v>680</v>
      </c>
      <c r="M549" s="56">
        <v>0.7</v>
      </c>
      <c r="N549" s="56">
        <v>100</v>
      </c>
      <c r="O549" s="57">
        <v>70000</v>
      </c>
      <c r="P549" s="56">
        <v>0</v>
      </c>
      <c r="Q549" s="56">
        <v>0</v>
      </c>
      <c r="R549" s="56">
        <v>0.7</v>
      </c>
      <c r="S549" s="56">
        <v>70</v>
      </c>
      <c r="T549" s="56">
        <v>0</v>
      </c>
      <c r="U549" s="56">
        <v>0</v>
      </c>
      <c r="V549" s="56">
        <v>0.7</v>
      </c>
      <c r="W549" s="56">
        <v>70</v>
      </c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</row>
    <row r="550" spans="1:39" x14ac:dyDescent="0.4">
      <c r="A550" s="56"/>
      <c r="B550" s="59"/>
      <c r="C550" s="56"/>
      <c r="D550" s="56"/>
      <c r="E550" s="56"/>
      <c r="F550" s="57"/>
      <c r="G550" s="57"/>
      <c r="H550" s="57"/>
      <c r="I550" s="56"/>
      <c r="J550" s="56"/>
      <c r="K550" s="56" t="s">
        <v>681</v>
      </c>
      <c r="L550" s="56"/>
      <c r="M550" s="56"/>
      <c r="N550" s="56"/>
      <c r="O550" s="57">
        <v>200000</v>
      </c>
      <c r="P550" s="56"/>
      <c r="Q550" s="56">
        <v>0</v>
      </c>
      <c r="R550" s="56"/>
      <c r="S550" s="56">
        <v>200</v>
      </c>
      <c r="T550" s="56"/>
      <c r="U550" s="56">
        <v>0</v>
      </c>
      <c r="V550" s="56"/>
      <c r="W550" s="56">
        <v>200</v>
      </c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</row>
    <row r="551" spans="1:39" x14ac:dyDescent="0.4">
      <c r="A551" s="56"/>
      <c r="B551" s="59"/>
      <c r="C551" s="56"/>
      <c r="D551" s="56"/>
      <c r="E551" s="56"/>
      <c r="F551" s="57"/>
      <c r="G551" s="57"/>
      <c r="H551" s="57"/>
      <c r="I551" s="56"/>
      <c r="J551" s="56" t="s">
        <v>77</v>
      </c>
      <c r="K551" s="56"/>
      <c r="L551" s="56"/>
      <c r="M551" s="56"/>
      <c r="N551" s="56"/>
      <c r="O551" s="57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</row>
    <row r="552" spans="1:39" x14ac:dyDescent="0.4">
      <c r="A552" s="56"/>
      <c r="B552" s="59"/>
      <c r="C552" s="56"/>
      <c r="D552" s="56"/>
      <c r="E552" s="56"/>
      <c r="F552" s="57"/>
      <c r="G552" s="57"/>
      <c r="H552" s="57"/>
      <c r="I552" s="56"/>
      <c r="J552" s="56"/>
      <c r="K552" s="56" t="s">
        <v>682</v>
      </c>
      <c r="L552" s="56"/>
      <c r="M552" s="56"/>
      <c r="N552" s="56"/>
      <c r="O552" s="57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</row>
    <row r="553" spans="1:39" x14ac:dyDescent="0.4">
      <c r="A553" s="56"/>
      <c r="B553" s="59"/>
      <c r="C553" s="56"/>
      <c r="D553" s="56"/>
      <c r="E553" s="56"/>
      <c r="F553" s="57"/>
      <c r="G553" s="57"/>
      <c r="H553" s="57"/>
      <c r="I553" s="56"/>
      <c r="J553" s="56"/>
      <c r="K553" s="56"/>
      <c r="L553" s="56" t="s">
        <v>683</v>
      </c>
      <c r="M553" s="56"/>
      <c r="N553" s="56"/>
      <c r="O553" s="57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</row>
    <row r="554" spans="1:39" x14ac:dyDescent="0.4">
      <c r="A554" s="56"/>
      <c r="B554" s="59"/>
      <c r="C554" s="56"/>
      <c r="D554" s="56"/>
      <c r="E554" s="56"/>
      <c r="F554" s="57"/>
      <c r="G554" s="57"/>
      <c r="H554" s="57"/>
      <c r="I554" s="56"/>
      <c r="J554" s="56"/>
      <c r="K554" s="56"/>
      <c r="L554" s="56" t="s">
        <v>684</v>
      </c>
      <c r="M554" s="56">
        <v>5</v>
      </c>
      <c r="N554" s="56">
        <v>104</v>
      </c>
      <c r="O554" s="57">
        <v>520000</v>
      </c>
      <c r="P554" s="56">
        <v>0</v>
      </c>
      <c r="Q554" s="56">
        <v>0</v>
      </c>
      <c r="R554" s="56">
        <v>5</v>
      </c>
      <c r="S554" s="56">
        <v>520</v>
      </c>
      <c r="T554" s="56">
        <v>0</v>
      </c>
      <c r="U554" s="56">
        <v>0</v>
      </c>
      <c r="V554" s="56">
        <v>5</v>
      </c>
      <c r="W554" s="56">
        <v>520</v>
      </c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</row>
    <row r="555" spans="1:39" x14ac:dyDescent="0.4">
      <c r="A555" s="56"/>
      <c r="B555" s="59"/>
      <c r="C555" s="56"/>
      <c r="D555" s="56"/>
      <c r="E555" s="56"/>
      <c r="F555" s="57"/>
      <c r="G555" s="57"/>
      <c r="H555" s="57"/>
      <c r="I555" s="56"/>
      <c r="J555" s="56"/>
      <c r="K555" s="56"/>
      <c r="L555" s="56" t="s">
        <v>685</v>
      </c>
      <c r="M555" s="56">
        <v>1.2</v>
      </c>
      <c r="N555" s="56">
        <v>104</v>
      </c>
      <c r="O555" s="57">
        <v>124800</v>
      </c>
      <c r="P555" s="56">
        <v>0</v>
      </c>
      <c r="Q555" s="56">
        <v>0</v>
      </c>
      <c r="R555" s="56">
        <v>1.2</v>
      </c>
      <c r="S555" s="56">
        <v>124.8</v>
      </c>
      <c r="T555" s="56">
        <v>0</v>
      </c>
      <c r="U555" s="56">
        <v>0</v>
      </c>
      <c r="V555" s="56">
        <v>1.2</v>
      </c>
      <c r="W555" s="56">
        <v>124.8</v>
      </c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</row>
    <row r="556" spans="1:39" x14ac:dyDescent="0.4">
      <c r="A556" s="56"/>
      <c r="B556" s="59"/>
      <c r="C556" s="56"/>
      <c r="D556" s="56"/>
      <c r="E556" s="56"/>
      <c r="F556" s="57"/>
      <c r="G556" s="57"/>
      <c r="H556" s="57"/>
      <c r="I556" s="56"/>
      <c r="J556" s="56"/>
      <c r="K556" s="56"/>
      <c r="L556" s="56" t="s">
        <v>686</v>
      </c>
      <c r="M556" s="56">
        <v>80</v>
      </c>
      <c r="N556" s="56">
        <v>1</v>
      </c>
      <c r="O556" s="57">
        <v>80000</v>
      </c>
      <c r="P556" s="56">
        <v>0</v>
      </c>
      <c r="Q556" s="56">
        <v>0</v>
      </c>
      <c r="R556" s="56">
        <v>80</v>
      </c>
      <c r="S556" s="56">
        <v>80</v>
      </c>
      <c r="T556" s="56">
        <v>0</v>
      </c>
      <c r="U556" s="56">
        <v>0</v>
      </c>
      <c r="V556" s="56">
        <v>80</v>
      </c>
      <c r="W556" s="56">
        <v>80</v>
      </c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</row>
    <row r="557" spans="1:39" x14ac:dyDescent="0.4">
      <c r="A557" s="56"/>
      <c r="B557" s="59"/>
      <c r="C557" s="56"/>
      <c r="D557" s="56"/>
      <c r="E557" s="56"/>
      <c r="F557" s="57"/>
      <c r="G557" s="57"/>
      <c r="H557" s="57"/>
      <c r="I557" s="56"/>
      <c r="J557" s="56"/>
      <c r="K557" s="56"/>
      <c r="L557" s="56" t="s">
        <v>687</v>
      </c>
      <c r="M557" s="56">
        <v>15</v>
      </c>
      <c r="N557" s="56">
        <v>1</v>
      </c>
      <c r="O557" s="57">
        <v>15000</v>
      </c>
      <c r="P557" s="56">
        <v>0</v>
      </c>
      <c r="Q557" s="56">
        <v>0</v>
      </c>
      <c r="R557" s="56">
        <v>15</v>
      </c>
      <c r="S557" s="56">
        <v>15</v>
      </c>
      <c r="T557" s="56">
        <v>0</v>
      </c>
      <c r="U557" s="56">
        <v>0</v>
      </c>
      <c r="V557" s="56">
        <v>15</v>
      </c>
      <c r="W557" s="56">
        <v>15</v>
      </c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</row>
    <row r="558" spans="1:39" x14ac:dyDescent="0.4">
      <c r="A558" s="56"/>
      <c r="B558" s="59"/>
      <c r="C558" s="56"/>
      <c r="D558" s="56"/>
      <c r="E558" s="56"/>
      <c r="F558" s="57"/>
      <c r="G558" s="57"/>
      <c r="H558" s="57"/>
      <c r="I558" s="56"/>
      <c r="J558" s="56"/>
      <c r="K558" s="56"/>
      <c r="L558" s="56" t="s">
        <v>688</v>
      </c>
      <c r="M558" s="56">
        <v>150</v>
      </c>
      <c r="N558" s="56">
        <v>1</v>
      </c>
      <c r="O558" s="57">
        <v>150000</v>
      </c>
      <c r="P558" s="56">
        <v>0</v>
      </c>
      <c r="Q558" s="56">
        <v>0</v>
      </c>
      <c r="R558" s="56">
        <v>150</v>
      </c>
      <c r="S558" s="56">
        <v>150</v>
      </c>
      <c r="T558" s="56">
        <v>0</v>
      </c>
      <c r="U558" s="56">
        <v>0</v>
      </c>
      <c r="V558" s="56">
        <v>150</v>
      </c>
      <c r="W558" s="56">
        <v>150</v>
      </c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</row>
    <row r="559" spans="1:39" x14ac:dyDescent="0.4">
      <c r="A559" s="56"/>
      <c r="B559" s="59"/>
      <c r="C559" s="56"/>
      <c r="D559" s="56"/>
      <c r="E559" s="56"/>
      <c r="F559" s="57"/>
      <c r="G559" s="57"/>
      <c r="H559" s="57"/>
      <c r="I559" s="56"/>
      <c r="J559" s="56"/>
      <c r="K559" s="56"/>
      <c r="L559" s="56" t="s">
        <v>689</v>
      </c>
      <c r="M559" s="56">
        <v>36</v>
      </c>
      <c r="N559" s="56">
        <v>1</v>
      </c>
      <c r="O559" s="57">
        <v>36000</v>
      </c>
      <c r="P559" s="56">
        <v>0</v>
      </c>
      <c r="Q559" s="56">
        <v>0</v>
      </c>
      <c r="R559" s="56">
        <v>36</v>
      </c>
      <c r="S559" s="56">
        <v>36</v>
      </c>
      <c r="T559" s="56">
        <v>0</v>
      </c>
      <c r="U559" s="56">
        <v>0</v>
      </c>
      <c r="V559" s="56">
        <v>36</v>
      </c>
      <c r="W559" s="56">
        <v>36</v>
      </c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</row>
    <row r="560" spans="1:39" x14ac:dyDescent="0.4">
      <c r="A560" s="56"/>
      <c r="B560" s="59"/>
      <c r="C560" s="56"/>
      <c r="D560" s="56"/>
      <c r="E560" s="56"/>
      <c r="F560" s="57"/>
      <c r="G560" s="57"/>
      <c r="H560" s="57"/>
      <c r="I560" s="56"/>
      <c r="J560" s="56"/>
      <c r="K560" s="56"/>
      <c r="L560" s="56" t="s">
        <v>690</v>
      </c>
      <c r="M560" s="56">
        <v>29</v>
      </c>
      <c r="N560" s="56">
        <v>1</v>
      </c>
      <c r="O560" s="57">
        <v>29000</v>
      </c>
      <c r="P560" s="56">
        <v>0</v>
      </c>
      <c r="Q560" s="56">
        <v>0</v>
      </c>
      <c r="R560" s="56">
        <v>29</v>
      </c>
      <c r="S560" s="56">
        <v>29</v>
      </c>
      <c r="T560" s="56">
        <v>0</v>
      </c>
      <c r="U560" s="56">
        <v>0</v>
      </c>
      <c r="V560" s="56">
        <v>29</v>
      </c>
      <c r="W560" s="56">
        <v>29</v>
      </c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</row>
    <row r="561" spans="1:39" x14ac:dyDescent="0.4">
      <c r="A561" s="56"/>
      <c r="B561" s="59"/>
      <c r="C561" s="56"/>
      <c r="D561" s="56"/>
      <c r="E561" s="56"/>
      <c r="F561" s="57"/>
      <c r="G561" s="57"/>
      <c r="H561" s="57"/>
      <c r="I561" s="56"/>
      <c r="J561" s="56"/>
      <c r="K561" s="56"/>
      <c r="L561" s="56" t="s">
        <v>691</v>
      </c>
      <c r="M561" s="56">
        <v>36</v>
      </c>
      <c r="N561" s="56">
        <v>1</v>
      </c>
      <c r="O561" s="57">
        <v>36000</v>
      </c>
      <c r="P561" s="56">
        <v>0</v>
      </c>
      <c r="Q561" s="56">
        <v>0</v>
      </c>
      <c r="R561" s="56">
        <v>36</v>
      </c>
      <c r="S561" s="56">
        <v>36</v>
      </c>
      <c r="T561" s="56">
        <v>0</v>
      </c>
      <c r="U561" s="56">
        <v>0</v>
      </c>
      <c r="V561" s="56">
        <v>36</v>
      </c>
      <c r="W561" s="56">
        <v>36</v>
      </c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</row>
    <row r="562" spans="1:39" x14ac:dyDescent="0.4">
      <c r="A562" s="56"/>
      <c r="B562" s="59"/>
      <c r="C562" s="56"/>
      <c r="D562" s="56"/>
      <c r="E562" s="56"/>
      <c r="F562" s="57"/>
      <c r="G562" s="57"/>
      <c r="H562" s="57"/>
      <c r="I562" s="56"/>
      <c r="J562" s="56"/>
      <c r="K562" s="56"/>
      <c r="L562" s="56" t="s">
        <v>692</v>
      </c>
      <c r="M562" s="56">
        <v>0.1</v>
      </c>
      <c r="N562" s="56">
        <v>104</v>
      </c>
      <c r="O562" s="57">
        <v>10400</v>
      </c>
      <c r="P562" s="56">
        <v>0</v>
      </c>
      <c r="Q562" s="56">
        <v>0</v>
      </c>
      <c r="R562" s="56">
        <v>0.1</v>
      </c>
      <c r="S562" s="56">
        <v>10.4</v>
      </c>
      <c r="T562" s="56">
        <v>0</v>
      </c>
      <c r="U562" s="56">
        <v>0</v>
      </c>
      <c r="V562" s="56">
        <v>0.1</v>
      </c>
      <c r="W562" s="56">
        <v>10.4</v>
      </c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</row>
    <row r="563" spans="1:39" x14ac:dyDescent="0.4">
      <c r="A563" s="56"/>
      <c r="B563" s="59"/>
      <c r="C563" s="56"/>
      <c r="D563" s="56"/>
      <c r="E563" s="56"/>
      <c r="F563" s="57"/>
      <c r="G563" s="57"/>
      <c r="H563" s="57"/>
      <c r="I563" s="56"/>
      <c r="J563" s="56"/>
      <c r="K563" s="56"/>
      <c r="L563" s="56" t="s">
        <v>693</v>
      </c>
      <c r="M563" s="56">
        <v>1</v>
      </c>
      <c r="N563" s="56">
        <v>104</v>
      </c>
      <c r="O563" s="57">
        <v>104000</v>
      </c>
      <c r="P563" s="56">
        <v>0</v>
      </c>
      <c r="Q563" s="56">
        <v>0</v>
      </c>
      <c r="R563" s="56">
        <v>1</v>
      </c>
      <c r="S563" s="56">
        <v>104</v>
      </c>
      <c r="T563" s="56">
        <v>0</v>
      </c>
      <c r="U563" s="56">
        <v>0</v>
      </c>
      <c r="V563" s="56">
        <v>1</v>
      </c>
      <c r="W563" s="56">
        <v>104</v>
      </c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</row>
    <row r="564" spans="1:39" x14ac:dyDescent="0.4">
      <c r="A564" s="56"/>
      <c r="B564" s="59"/>
      <c r="C564" s="56"/>
      <c r="D564" s="56"/>
      <c r="E564" s="56"/>
      <c r="F564" s="57"/>
      <c r="G564" s="57"/>
      <c r="H564" s="57"/>
      <c r="I564" s="56"/>
      <c r="J564" s="56"/>
      <c r="K564" s="56"/>
      <c r="L564" s="56" t="s">
        <v>694</v>
      </c>
      <c r="M564" s="56">
        <v>17</v>
      </c>
      <c r="N564" s="56">
        <v>1</v>
      </c>
      <c r="O564" s="57">
        <v>17000</v>
      </c>
      <c r="P564" s="56">
        <v>0</v>
      </c>
      <c r="Q564" s="56">
        <v>0</v>
      </c>
      <c r="R564" s="56">
        <v>17</v>
      </c>
      <c r="S564" s="56">
        <v>17</v>
      </c>
      <c r="T564" s="56">
        <v>0</v>
      </c>
      <c r="U564" s="56">
        <v>0</v>
      </c>
      <c r="V564" s="56">
        <v>17</v>
      </c>
      <c r="W564" s="56">
        <v>17</v>
      </c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</row>
    <row r="565" spans="1:39" x14ac:dyDescent="0.4">
      <c r="A565" s="56"/>
      <c r="B565" s="59"/>
      <c r="C565" s="56"/>
      <c r="D565" s="56"/>
      <c r="E565" s="56"/>
      <c r="F565" s="57"/>
      <c r="G565" s="57"/>
      <c r="H565" s="57"/>
      <c r="I565" s="56"/>
      <c r="J565" s="56"/>
      <c r="K565" s="56"/>
      <c r="L565" s="56" t="s">
        <v>695</v>
      </c>
      <c r="M565" s="56">
        <v>43</v>
      </c>
      <c r="N565" s="56">
        <v>1</v>
      </c>
      <c r="O565" s="57">
        <v>43000</v>
      </c>
      <c r="P565" s="56">
        <v>0</v>
      </c>
      <c r="Q565" s="56">
        <v>0</v>
      </c>
      <c r="R565" s="56">
        <v>43</v>
      </c>
      <c r="S565" s="56">
        <v>43</v>
      </c>
      <c r="T565" s="56">
        <v>0</v>
      </c>
      <c r="U565" s="56">
        <v>0</v>
      </c>
      <c r="V565" s="56">
        <v>43</v>
      </c>
      <c r="W565" s="56">
        <v>43</v>
      </c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</row>
    <row r="566" spans="1:39" x14ac:dyDescent="0.4">
      <c r="A566" s="56"/>
      <c r="B566" s="59"/>
      <c r="C566" s="56"/>
      <c r="D566" s="56"/>
      <c r="E566" s="56"/>
      <c r="F566" s="57"/>
      <c r="G566" s="57"/>
      <c r="H566" s="57"/>
      <c r="I566" s="56"/>
      <c r="J566" s="56"/>
      <c r="K566" s="56"/>
      <c r="L566" s="56" t="s">
        <v>696</v>
      </c>
      <c r="M566" s="56">
        <v>45</v>
      </c>
      <c r="N566" s="56">
        <v>1</v>
      </c>
      <c r="O566" s="57">
        <v>45000</v>
      </c>
      <c r="P566" s="56">
        <v>0</v>
      </c>
      <c r="Q566" s="56">
        <v>0</v>
      </c>
      <c r="R566" s="56">
        <v>45</v>
      </c>
      <c r="S566" s="56">
        <v>45</v>
      </c>
      <c r="T566" s="56">
        <v>0</v>
      </c>
      <c r="U566" s="56">
        <v>0</v>
      </c>
      <c r="V566" s="56">
        <v>45</v>
      </c>
      <c r="W566" s="56">
        <v>45</v>
      </c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</row>
    <row r="567" spans="1:39" x14ac:dyDescent="0.4">
      <c r="A567" s="56"/>
      <c r="B567" s="59"/>
      <c r="C567" s="56"/>
      <c r="D567" s="56"/>
      <c r="E567" s="56"/>
      <c r="F567" s="57"/>
      <c r="G567" s="57"/>
      <c r="H567" s="57"/>
      <c r="I567" s="56"/>
      <c r="J567" s="56"/>
      <c r="K567" s="56"/>
      <c r="L567" s="56" t="s">
        <v>697</v>
      </c>
      <c r="M567" s="56">
        <v>0.4</v>
      </c>
      <c r="N567" s="56">
        <v>104</v>
      </c>
      <c r="O567" s="57">
        <v>41600</v>
      </c>
      <c r="P567" s="56">
        <v>0</v>
      </c>
      <c r="Q567" s="56">
        <v>0</v>
      </c>
      <c r="R567" s="56">
        <v>0.4</v>
      </c>
      <c r="S567" s="56">
        <v>41.6</v>
      </c>
      <c r="T567" s="56">
        <v>0</v>
      </c>
      <c r="U567" s="56">
        <v>0</v>
      </c>
      <c r="V567" s="56">
        <v>0.4</v>
      </c>
      <c r="W567" s="56">
        <v>41.6</v>
      </c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</row>
    <row r="568" spans="1:39" x14ac:dyDescent="0.4">
      <c r="A568" s="56"/>
      <c r="B568" s="59"/>
      <c r="C568" s="56"/>
      <c r="D568" s="56"/>
      <c r="E568" s="56"/>
      <c r="F568" s="57"/>
      <c r="G568" s="57"/>
      <c r="H568" s="57"/>
      <c r="I568" s="56"/>
      <c r="J568" s="56"/>
      <c r="K568" s="56"/>
      <c r="L568" s="56" t="s">
        <v>698</v>
      </c>
      <c r="M568" s="56">
        <v>39</v>
      </c>
      <c r="N568" s="56">
        <v>1</v>
      </c>
      <c r="O568" s="57">
        <v>39000</v>
      </c>
      <c r="P568" s="56">
        <v>0</v>
      </c>
      <c r="Q568" s="56">
        <v>0</v>
      </c>
      <c r="R568" s="56">
        <v>39</v>
      </c>
      <c r="S568" s="56">
        <v>39</v>
      </c>
      <c r="T568" s="56">
        <v>0</v>
      </c>
      <c r="U568" s="56">
        <v>0</v>
      </c>
      <c r="V568" s="56">
        <v>39</v>
      </c>
      <c r="W568" s="56">
        <v>39</v>
      </c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</row>
    <row r="569" spans="1:39" x14ac:dyDescent="0.4">
      <c r="A569" s="56"/>
      <c r="B569" s="59"/>
      <c r="C569" s="56"/>
      <c r="D569" s="56"/>
      <c r="E569" s="56"/>
      <c r="F569" s="57"/>
      <c r="G569" s="57"/>
      <c r="H569" s="57"/>
      <c r="I569" s="56"/>
      <c r="J569" s="56"/>
      <c r="K569" s="56"/>
      <c r="L569" s="56" t="s">
        <v>699</v>
      </c>
      <c r="M569" s="56">
        <v>43</v>
      </c>
      <c r="N569" s="56">
        <v>1</v>
      </c>
      <c r="O569" s="57">
        <v>43000</v>
      </c>
      <c r="P569" s="56">
        <v>0</v>
      </c>
      <c r="Q569" s="56">
        <v>0</v>
      </c>
      <c r="R569" s="56">
        <v>43</v>
      </c>
      <c r="S569" s="56">
        <v>43</v>
      </c>
      <c r="T569" s="56">
        <v>0</v>
      </c>
      <c r="U569" s="56">
        <v>0</v>
      </c>
      <c r="V569" s="56">
        <v>43</v>
      </c>
      <c r="W569" s="56">
        <v>43</v>
      </c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</row>
    <row r="570" spans="1:39" x14ac:dyDescent="0.4">
      <c r="A570" s="56"/>
      <c r="B570" s="59"/>
      <c r="C570" s="56"/>
      <c r="D570" s="56"/>
      <c r="E570" s="56"/>
      <c r="F570" s="57"/>
      <c r="G570" s="57"/>
      <c r="H570" s="57"/>
      <c r="I570" s="56"/>
      <c r="J570" s="56"/>
      <c r="K570" s="56"/>
      <c r="L570" s="56" t="s">
        <v>700</v>
      </c>
      <c r="M570" s="56">
        <v>43</v>
      </c>
      <c r="N570" s="56">
        <v>1</v>
      </c>
      <c r="O570" s="57">
        <v>43000</v>
      </c>
      <c r="P570" s="56">
        <v>0</v>
      </c>
      <c r="Q570" s="56">
        <v>0</v>
      </c>
      <c r="R570" s="56">
        <v>43</v>
      </c>
      <c r="S570" s="56">
        <v>43</v>
      </c>
      <c r="T570" s="56">
        <v>0</v>
      </c>
      <c r="U570" s="56">
        <v>0</v>
      </c>
      <c r="V570" s="56">
        <v>43</v>
      </c>
      <c r="W570" s="56">
        <v>43</v>
      </c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</row>
    <row r="571" spans="1:39" x14ac:dyDescent="0.4">
      <c r="A571" s="56"/>
      <c r="B571" s="59"/>
      <c r="C571" s="56"/>
      <c r="D571" s="56"/>
      <c r="E571" s="56"/>
      <c r="F571" s="57"/>
      <c r="G571" s="57"/>
      <c r="H571" s="57"/>
      <c r="I571" s="56"/>
      <c r="J571" s="56"/>
      <c r="K571" s="56"/>
      <c r="L571" s="56" t="s">
        <v>701</v>
      </c>
      <c r="M571" s="56">
        <v>20</v>
      </c>
      <c r="N571" s="56">
        <v>1</v>
      </c>
      <c r="O571" s="57">
        <v>20000</v>
      </c>
      <c r="P571" s="56">
        <v>0</v>
      </c>
      <c r="Q571" s="56">
        <v>0</v>
      </c>
      <c r="R571" s="56">
        <v>20</v>
      </c>
      <c r="S571" s="56">
        <v>20</v>
      </c>
      <c r="T571" s="56">
        <v>0</v>
      </c>
      <c r="U571" s="56">
        <v>0</v>
      </c>
      <c r="V571" s="56">
        <v>20</v>
      </c>
      <c r="W571" s="56">
        <v>20</v>
      </c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</row>
    <row r="572" spans="1:39" x14ac:dyDescent="0.4">
      <c r="A572" s="56"/>
      <c r="B572" s="59"/>
      <c r="C572" s="56"/>
      <c r="D572" s="56"/>
      <c r="E572" s="56"/>
      <c r="F572" s="57"/>
      <c r="G572" s="57"/>
      <c r="H572" s="57"/>
      <c r="I572" s="56"/>
      <c r="J572" s="56"/>
      <c r="K572" s="56"/>
      <c r="L572" s="56" t="s">
        <v>702</v>
      </c>
      <c r="M572" s="56">
        <v>40</v>
      </c>
      <c r="N572" s="56">
        <v>1</v>
      </c>
      <c r="O572" s="57">
        <v>40000</v>
      </c>
      <c r="P572" s="56">
        <v>0</v>
      </c>
      <c r="Q572" s="56">
        <v>0</v>
      </c>
      <c r="R572" s="56">
        <v>40</v>
      </c>
      <c r="S572" s="56">
        <v>40</v>
      </c>
      <c r="T572" s="56">
        <v>0</v>
      </c>
      <c r="U572" s="56">
        <v>0</v>
      </c>
      <c r="V572" s="56">
        <v>40</v>
      </c>
      <c r="W572" s="56">
        <v>40</v>
      </c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</row>
    <row r="573" spans="1:39" x14ac:dyDescent="0.4">
      <c r="A573" s="56"/>
      <c r="B573" s="59"/>
      <c r="C573" s="56"/>
      <c r="D573" s="56"/>
      <c r="E573" s="56"/>
      <c r="F573" s="57"/>
      <c r="G573" s="57"/>
      <c r="H573" s="57"/>
      <c r="I573" s="56"/>
      <c r="J573" s="56"/>
      <c r="K573" s="56"/>
      <c r="L573" s="56" t="s">
        <v>983</v>
      </c>
      <c r="M573" s="56">
        <v>40</v>
      </c>
      <c r="N573" s="56">
        <v>1</v>
      </c>
      <c r="O573" s="57">
        <v>40000</v>
      </c>
      <c r="P573" s="56">
        <v>0</v>
      </c>
      <c r="Q573" s="56">
        <v>0</v>
      </c>
      <c r="R573" s="56">
        <v>40</v>
      </c>
      <c r="S573" s="56">
        <v>40</v>
      </c>
      <c r="T573" s="56">
        <v>0</v>
      </c>
      <c r="U573" s="56">
        <v>0</v>
      </c>
      <c r="V573" s="56">
        <v>40</v>
      </c>
      <c r="W573" s="56">
        <v>40</v>
      </c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</row>
    <row r="574" spans="1:39" x14ac:dyDescent="0.4">
      <c r="A574" s="56"/>
      <c r="B574" s="59"/>
      <c r="C574" s="56"/>
      <c r="D574" s="56"/>
      <c r="E574" s="56"/>
      <c r="F574" s="57"/>
      <c r="G574" s="57"/>
      <c r="H574" s="57"/>
      <c r="I574" s="56"/>
      <c r="J574" s="56"/>
      <c r="K574" s="56"/>
      <c r="L574" s="56" t="s">
        <v>984</v>
      </c>
      <c r="M574" s="56">
        <v>20</v>
      </c>
      <c r="N574" s="56">
        <v>1</v>
      </c>
      <c r="O574" s="57">
        <v>20000</v>
      </c>
      <c r="P574" s="56">
        <v>0</v>
      </c>
      <c r="Q574" s="56">
        <v>0</v>
      </c>
      <c r="R574" s="56">
        <v>20</v>
      </c>
      <c r="S574" s="56">
        <v>20</v>
      </c>
      <c r="T574" s="56">
        <v>0</v>
      </c>
      <c r="U574" s="56">
        <v>0</v>
      </c>
      <c r="V574" s="56">
        <v>20</v>
      </c>
      <c r="W574" s="56">
        <v>20</v>
      </c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</row>
    <row r="575" spans="1:39" x14ac:dyDescent="0.4">
      <c r="A575" s="56"/>
      <c r="B575" s="59"/>
      <c r="C575" s="56"/>
      <c r="D575" s="56"/>
      <c r="E575" s="56"/>
      <c r="F575" s="57"/>
      <c r="G575" s="57"/>
      <c r="H575" s="57"/>
      <c r="I575" s="56"/>
      <c r="J575" s="56"/>
      <c r="K575" s="56"/>
      <c r="L575" s="56" t="s">
        <v>703</v>
      </c>
      <c r="M575" s="56">
        <v>14</v>
      </c>
      <c r="N575" s="56">
        <v>1</v>
      </c>
      <c r="O575" s="57">
        <v>14000</v>
      </c>
      <c r="P575" s="56">
        <v>0</v>
      </c>
      <c r="Q575" s="56">
        <v>0</v>
      </c>
      <c r="R575" s="56">
        <v>14</v>
      </c>
      <c r="S575" s="56">
        <v>14</v>
      </c>
      <c r="T575" s="56">
        <v>0</v>
      </c>
      <c r="U575" s="56">
        <v>0</v>
      </c>
      <c r="V575" s="56">
        <v>14</v>
      </c>
      <c r="W575" s="56">
        <v>14</v>
      </c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</row>
    <row r="576" spans="1:39" x14ac:dyDescent="0.4">
      <c r="A576" s="56"/>
      <c r="B576" s="59"/>
      <c r="C576" s="56"/>
      <c r="D576" s="56"/>
      <c r="E576" s="56"/>
      <c r="F576" s="57"/>
      <c r="G576" s="57"/>
      <c r="H576" s="57"/>
      <c r="I576" s="56"/>
      <c r="J576" s="56"/>
      <c r="K576" s="56"/>
      <c r="L576" s="56" t="s">
        <v>704</v>
      </c>
      <c r="M576" s="56">
        <v>60</v>
      </c>
      <c r="N576" s="56">
        <v>1</v>
      </c>
      <c r="O576" s="57">
        <v>60000</v>
      </c>
      <c r="P576" s="56">
        <v>0</v>
      </c>
      <c r="Q576" s="56">
        <v>0</v>
      </c>
      <c r="R576" s="56">
        <v>60</v>
      </c>
      <c r="S576" s="56">
        <v>60</v>
      </c>
      <c r="T576" s="56">
        <v>0</v>
      </c>
      <c r="U576" s="56">
        <v>0</v>
      </c>
      <c r="V576" s="56">
        <v>60</v>
      </c>
      <c r="W576" s="56">
        <v>60</v>
      </c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</row>
    <row r="577" spans="1:39" x14ac:dyDescent="0.4">
      <c r="A577" s="56"/>
      <c r="B577" s="59"/>
      <c r="C577" s="56"/>
      <c r="D577" s="56"/>
      <c r="E577" s="56"/>
      <c r="F577" s="57"/>
      <c r="G577" s="57"/>
      <c r="H577" s="57"/>
      <c r="I577" s="56"/>
      <c r="J577" s="56"/>
      <c r="K577" s="56"/>
      <c r="L577" s="56" t="s">
        <v>705</v>
      </c>
      <c r="M577" s="56">
        <v>28</v>
      </c>
      <c r="N577" s="56">
        <v>1</v>
      </c>
      <c r="O577" s="57">
        <v>28000</v>
      </c>
      <c r="P577" s="56">
        <v>0</v>
      </c>
      <c r="Q577" s="56">
        <v>0</v>
      </c>
      <c r="R577" s="56">
        <v>28</v>
      </c>
      <c r="S577" s="56">
        <v>28</v>
      </c>
      <c r="T577" s="56">
        <v>0</v>
      </c>
      <c r="U577" s="56">
        <v>0</v>
      </c>
      <c r="V577" s="56">
        <v>28</v>
      </c>
      <c r="W577" s="56">
        <v>28</v>
      </c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</row>
    <row r="578" spans="1:39" x14ac:dyDescent="0.4">
      <c r="A578" s="56"/>
      <c r="B578" s="59"/>
      <c r="C578" s="56"/>
      <c r="D578" s="56"/>
      <c r="E578" s="56"/>
      <c r="F578" s="57"/>
      <c r="G578" s="57"/>
      <c r="H578" s="57"/>
      <c r="I578" s="56"/>
      <c r="J578" s="56"/>
      <c r="K578" s="56"/>
      <c r="L578" s="56" t="s">
        <v>706</v>
      </c>
      <c r="M578" s="56">
        <v>22</v>
      </c>
      <c r="N578" s="56">
        <v>1</v>
      </c>
      <c r="O578" s="57">
        <v>22000</v>
      </c>
      <c r="P578" s="56">
        <v>0</v>
      </c>
      <c r="Q578" s="56">
        <v>0</v>
      </c>
      <c r="R578" s="56">
        <v>22</v>
      </c>
      <c r="S578" s="56">
        <v>22</v>
      </c>
      <c r="T578" s="56">
        <v>0</v>
      </c>
      <c r="U578" s="56">
        <v>0</v>
      </c>
      <c r="V578" s="56">
        <v>22</v>
      </c>
      <c r="W578" s="56">
        <v>22</v>
      </c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</row>
    <row r="579" spans="1:39" x14ac:dyDescent="0.4">
      <c r="A579" s="56"/>
      <c r="B579" s="59"/>
      <c r="C579" s="56"/>
      <c r="D579" s="56"/>
      <c r="E579" s="56"/>
      <c r="F579" s="57"/>
      <c r="G579" s="57"/>
      <c r="H579" s="57"/>
      <c r="I579" s="56"/>
      <c r="J579" s="56"/>
      <c r="K579" s="56" t="s">
        <v>707</v>
      </c>
      <c r="L579" s="56"/>
      <c r="M579" s="56"/>
      <c r="N579" s="56"/>
      <c r="O579" s="57">
        <v>1620800</v>
      </c>
      <c r="P579" s="56"/>
      <c r="Q579" s="56">
        <v>0</v>
      </c>
      <c r="R579" s="56"/>
      <c r="S579" s="56">
        <v>1620.8</v>
      </c>
      <c r="T579" s="56"/>
      <c r="U579" s="56">
        <v>0</v>
      </c>
      <c r="V579" s="56"/>
      <c r="W579" s="56">
        <v>1620.8</v>
      </c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</row>
    <row r="580" spans="1:39" x14ac:dyDescent="0.4">
      <c r="A580" s="56"/>
      <c r="B580" s="59"/>
      <c r="C580" s="56"/>
      <c r="D580" s="56"/>
      <c r="E580" s="56"/>
      <c r="F580" s="57"/>
      <c r="G580" s="57"/>
      <c r="H580" s="57"/>
      <c r="I580" s="56"/>
      <c r="J580" s="56"/>
      <c r="K580" s="56" t="s">
        <v>708</v>
      </c>
      <c r="L580" s="56"/>
      <c r="M580" s="56"/>
      <c r="N580" s="56"/>
      <c r="O580" s="57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</row>
    <row r="581" spans="1:39" x14ac:dyDescent="0.4">
      <c r="A581" s="56"/>
      <c r="B581" s="59"/>
      <c r="C581" s="56"/>
      <c r="D581" s="56"/>
      <c r="E581" s="56"/>
      <c r="F581" s="57"/>
      <c r="G581" s="57"/>
      <c r="H581" s="57"/>
      <c r="I581" s="56"/>
      <c r="J581" s="56"/>
      <c r="K581" s="56"/>
      <c r="L581" s="56" t="s">
        <v>709</v>
      </c>
      <c r="M581" s="56"/>
      <c r="N581" s="56"/>
      <c r="O581" s="57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</row>
    <row r="582" spans="1:39" x14ac:dyDescent="0.4">
      <c r="A582" s="56"/>
      <c r="B582" s="59"/>
      <c r="C582" s="56"/>
      <c r="D582" s="56"/>
      <c r="E582" s="56"/>
      <c r="F582" s="57"/>
      <c r="G582" s="57"/>
      <c r="H582" s="57"/>
      <c r="I582" s="56"/>
      <c r="J582" s="56"/>
      <c r="K582" s="56"/>
      <c r="L582" s="56" t="s">
        <v>710</v>
      </c>
      <c r="M582" s="56">
        <v>125</v>
      </c>
      <c r="N582" s="56">
        <v>1</v>
      </c>
      <c r="O582" s="57">
        <v>125000</v>
      </c>
      <c r="P582" s="56">
        <v>0</v>
      </c>
      <c r="Q582" s="56">
        <v>0</v>
      </c>
      <c r="R582" s="56">
        <v>125</v>
      </c>
      <c r="S582" s="56">
        <v>125</v>
      </c>
      <c r="T582" s="56">
        <v>0</v>
      </c>
      <c r="U582" s="56">
        <v>0</v>
      </c>
      <c r="V582" s="56">
        <v>125</v>
      </c>
      <c r="W582" s="56">
        <v>125</v>
      </c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</row>
    <row r="583" spans="1:39" x14ac:dyDescent="0.4">
      <c r="A583" s="56"/>
      <c r="B583" s="59"/>
      <c r="C583" s="56"/>
      <c r="D583" s="56"/>
      <c r="E583" s="56"/>
      <c r="F583" s="57"/>
      <c r="G583" s="57"/>
      <c r="H583" s="57"/>
      <c r="I583" s="56"/>
      <c r="J583" s="56"/>
      <c r="K583" s="56"/>
      <c r="L583" s="56" t="s">
        <v>711</v>
      </c>
      <c r="M583" s="56">
        <v>80</v>
      </c>
      <c r="N583" s="56">
        <v>1</v>
      </c>
      <c r="O583" s="57">
        <v>80000</v>
      </c>
      <c r="P583" s="56">
        <v>0</v>
      </c>
      <c r="Q583" s="56">
        <v>0</v>
      </c>
      <c r="R583" s="56">
        <v>80</v>
      </c>
      <c r="S583" s="56">
        <v>80</v>
      </c>
      <c r="T583" s="56">
        <v>0</v>
      </c>
      <c r="U583" s="56">
        <v>0</v>
      </c>
      <c r="V583" s="56">
        <v>80</v>
      </c>
      <c r="W583" s="56">
        <v>80</v>
      </c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</row>
    <row r="584" spans="1:39" x14ac:dyDescent="0.4">
      <c r="A584" s="56"/>
      <c r="B584" s="59"/>
      <c r="C584" s="56"/>
      <c r="D584" s="56"/>
      <c r="E584" s="56"/>
      <c r="F584" s="57"/>
      <c r="G584" s="57"/>
      <c r="H584" s="57"/>
      <c r="I584" s="56"/>
      <c r="J584" s="56"/>
      <c r="K584" s="56"/>
      <c r="L584" s="56" t="s">
        <v>845</v>
      </c>
      <c r="M584" s="56">
        <v>10</v>
      </c>
      <c r="N584" s="56">
        <v>1</v>
      </c>
      <c r="O584" s="57">
        <v>10000</v>
      </c>
      <c r="P584" s="56">
        <v>0</v>
      </c>
      <c r="Q584" s="56">
        <v>0</v>
      </c>
      <c r="R584" s="56">
        <v>10</v>
      </c>
      <c r="S584" s="56">
        <v>10</v>
      </c>
      <c r="T584" s="56">
        <v>0</v>
      </c>
      <c r="U584" s="56">
        <v>0</v>
      </c>
      <c r="V584" s="56">
        <v>10</v>
      </c>
      <c r="W584" s="56">
        <v>10</v>
      </c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</row>
    <row r="585" spans="1:39" x14ac:dyDescent="0.4">
      <c r="A585" s="56"/>
      <c r="B585" s="59"/>
      <c r="C585" s="56"/>
      <c r="D585" s="56"/>
      <c r="E585" s="56"/>
      <c r="F585" s="57"/>
      <c r="G585" s="57"/>
      <c r="H585" s="57"/>
      <c r="I585" s="56"/>
      <c r="J585" s="56"/>
      <c r="K585" s="56"/>
      <c r="L585" s="56" t="s">
        <v>712</v>
      </c>
      <c r="M585" s="56">
        <v>30</v>
      </c>
      <c r="N585" s="56">
        <v>1</v>
      </c>
      <c r="O585" s="57">
        <v>30000</v>
      </c>
      <c r="P585" s="56">
        <v>0</v>
      </c>
      <c r="Q585" s="56">
        <v>0</v>
      </c>
      <c r="R585" s="56">
        <v>30</v>
      </c>
      <c r="S585" s="56">
        <v>30</v>
      </c>
      <c r="T585" s="56">
        <v>0</v>
      </c>
      <c r="U585" s="56">
        <v>0</v>
      </c>
      <c r="V585" s="56">
        <v>30</v>
      </c>
      <c r="W585" s="56">
        <v>30</v>
      </c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</row>
    <row r="586" spans="1:39" x14ac:dyDescent="0.4">
      <c r="A586" s="56"/>
      <c r="B586" s="59"/>
      <c r="C586" s="56"/>
      <c r="D586" s="56"/>
      <c r="E586" s="56"/>
      <c r="F586" s="57"/>
      <c r="G586" s="57"/>
      <c r="H586" s="57"/>
      <c r="I586" s="56"/>
      <c r="J586" s="56"/>
      <c r="K586" s="56" t="s">
        <v>713</v>
      </c>
      <c r="L586" s="56"/>
      <c r="M586" s="56"/>
      <c r="N586" s="56"/>
      <c r="O586" s="57">
        <v>245000</v>
      </c>
      <c r="P586" s="56"/>
      <c r="Q586" s="56">
        <v>0</v>
      </c>
      <c r="R586" s="56"/>
      <c r="S586" s="56">
        <v>245</v>
      </c>
      <c r="T586" s="56"/>
      <c r="U586" s="56">
        <v>0</v>
      </c>
      <c r="V586" s="56"/>
      <c r="W586" s="56">
        <v>245</v>
      </c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</row>
    <row r="587" spans="1:39" x14ac:dyDescent="0.4">
      <c r="A587" s="56"/>
      <c r="B587" s="59"/>
      <c r="C587" s="56"/>
      <c r="D587" s="56"/>
      <c r="E587" s="56"/>
      <c r="F587" s="57"/>
      <c r="G587" s="57"/>
      <c r="H587" s="57"/>
      <c r="I587" s="56"/>
      <c r="J587" s="56"/>
      <c r="K587" s="56" t="s">
        <v>714</v>
      </c>
      <c r="L587" s="56"/>
      <c r="M587" s="56"/>
      <c r="N587" s="56"/>
      <c r="O587" s="57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</row>
    <row r="588" spans="1:39" x14ac:dyDescent="0.4">
      <c r="A588" s="56"/>
      <c r="B588" s="59"/>
      <c r="C588" s="56"/>
      <c r="D588" s="56"/>
      <c r="E588" s="56"/>
      <c r="F588" s="57"/>
      <c r="G588" s="57"/>
      <c r="H588" s="57"/>
      <c r="I588" s="56"/>
      <c r="J588" s="56"/>
      <c r="K588" s="56" t="s">
        <v>715</v>
      </c>
      <c r="L588" s="56"/>
      <c r="M588" s="56"/>
      <c r="N588" s="56"/>
      <c r="O588" s="57">
        <v>0</v>
      </c>
      <c r="P588" s="56"/>
      <c r="Q588" s="56">
        <v>0</v>
      </c>
      <c r="R588" s="56"/>
      <c r="S588" s="56">
        <v>0</v>
      </c>
      <c r="T588" s="56"/>
      <c r="U588" s="56">
        <v>0</v>
      </c>
      <c r="V588" s="56"/>
      <c r="W588" s="56">
        <v>0</v>
      </c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</row>
    <row r="589" spans="1:39" x14ac:dyDescent="0.4">
      <c r="A589" s="56"/>
      <c r="B589" s="59"/>
      <c r="C589" s="56"/>
      <c r="D589" s="56"/>
      <c r="E589" s="56"/>
      <c r="F589" s="57"/>
      <c r="G589" s="57"/>
      <c r="H589" s="57"/>
      <c r="I589" s="56"/>
      <c r="J589" s="56"/>
      <c r="K589" s="56" t="s">
        <v>716</v>
      </c>
      <c r="L589" s="56"/>
      <c r="M589" s="56"/>
      <c r="N589" s="56"/>
      <c r="O589" s="57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</row>
    <row r="590" spans="1:39" x14ac:dyDescent="0.4">
      <c r="A590" s="56"/>
      <c r="B590" s="59"/>
      <c r="C590" s="56"/>
      <c r="D590" s="56"/>
      <c r="E590" s="56"/>
      <c r="F590" s="57"/>
      <c r="G590" s="57"/>
      <c r="H590" s="57"/>
      <c r="I590" s="56"/>
      <c r="J590" s="56"/>
      <c r="K590" s="56"/>
      <c r="L590" s="56" t="s">
        <v>717</v>
      </c>
      <c r="M590" s="56"/>
      <c r="N590" s="56"/>
      <c r="O590" s="57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</row>
    <row r="591" spans="1:39" x14ac:dyDescent="0.4">
      <c r="A591" s="56"/>
      <c r="B591" s="59"/>
      <c r="C591" s="56"/>
      <c r="D591" s="56"/>
      <c r="E591" s="56"/>
      <c r="F591" s="57"/>
      <c r="G591" s="57"/>
      <c r="H591" s="57"/>
      <c r="I591" s="56"/>
      <c r="J591" s="56"/>
      <c r="K591" s="56"/>
      <c r="L591" s="56" t="s">
        <v>718</v>
      </c>
      <c r="M591" s="56">
        <v>71.5</v>
      </c>
      <c r="N591" s="56">
        <v>1</v>
      </c>
      <c r="O591" s="57">
        <v>71500</v>
      </c>
      <c r="P591" s="56">
        <v>0</v>
      </c>
      <c r="Q591" s="56">
        <v>0</v>
      </c>
      <c r="R591" s="56">
        <v>71.5</v>
      </c>
      <c r="S591" s="56">
        <v>71.5</v>
      </c>
      <c r="T591" s="56">
        <v>0</v>
      </c>
      <c r="U591" s="56">
        <v>0</v>
      </c>
      <c r="V591" s="56">
        <v>71.5</v>
      </c>
      <c r="W591" s="56">
        <v>71.5</v>
      </c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</row>
    <row r="592" spans="1:39" x14ac:dyDescent="0.4">
      <c r="A592" s="56"/>
      <c r="B592" s="59"/>
      <c r="C592" s="56"/>
      <c r="D592" s="56"/>
      <c r="E592" s="56"/>
      <c r="F592" s="57"/>
      <c r="G592" s="57"/>
      <c r="H592" s="57"/>
      <c r="I592" s="56"/>
      <c r="J592" s="56"/>
      <c r="K592" s="56"/>
      <c r="L592" s="56" t="s">
        <v>719</v>
      </c>
      <c r="M592" s="56">
        <v>53</v>
      </c>
      <c r="N592" s="56">
        <v>1</v>
      </c>
      <c r="O592" s="57">
        <v>53000</v>
      </c>
      <c r="P592" s="56">
        <v>0</v>
      </c>
      <c r="Q592" s="56">
        <v>0</v>
      </c>
      <c r="R592" s="56">
        <v>53</v>
      </c>
      <c r="S592" s="56">
        <v>53</v>
      </c>
      <c r="T592" s="56">
        <v>0</v>
      </c>
      <c r="U592" s="56">
        <v>0</v>
      </c>
      <c r="V592" s="56">
        <v>53</v>
      </c>
      <c r="W592" s="56">
        <v>53</v>
      </c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</row>
    <row r="593" spans="1:39" x14ac:dyDescent="0.4">
      <c r="A593" s="56"/>
      <c r="B593" s="59"/>
      <c r="C593" s="56"/>
      <c r="D593" s="56"/>
      <c r="E593" s="56"/>
      <c r="F593" s="57"/>
      <c r="G593" s="57"/>
      <c r="H593" s="57"/>
      <c r="I593" s="56"/>
      <c r="J593" s="56"/>
      <c r="K593" s="56"/>
      <c r="L593" s="56" t="s">
        <v>720</v>
      </c>
      <c r="M593" s="56">
        <v>48</v>
      </c>
      <c r="N593" s="56">
        <v>1</v>
      </c>
      <c r="O593" s="57">
        <v>48000</v>
      </c>
      <c r="P593" s="56">
        <v>0</v>
      </c>
      <c r="Q593" s="56">
        <v>0</v>
      </c>
      <c r="R593" s="56">
        <v>48</v>
      </c>
      <c r="S593" s="56">
        <v>48</v>
      </c>
      <c r="T593" s="56">
        <v>0</v>
      </c>
      <c r="U593" s="56">
        <v>0</v>
      </c>
      <c r="V593" s="56">
        <v>48</v>
      </c>
      <c r="W593" s="56">
        <v>48</v>
      </c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</row>
    <row r="594" spans="1:39" x14ac:dyDescent="0.4">
      <c r="A594" s="56"/>
      <c r="B594" s="59"/>
      <c r="C594" s="56"/>
      <c r="D594" s="56"/>
      <c r="E594" s="56"/>
      <c r="F594" s="57"/>
      <c r="G594" s="57"/>
      <c r="H594" s="57"/>
      <c r="I594" s="56"/>
      <c r="J594" s="56"/>
      <c r="K594" s="56" t="s">
        <v>721</v>
      </c>
      <c r="L594" s="56"/>
      <c r="M594" s="56"/>
      <c r="N594" s="56"/>
      <c r="O594" s="57">
        <v>172500</v>
      </c>
      <c r="P594" s="56"/>
      <c r="Q594" s="56">
        <v>0</v>
      </c>
      <c r="R594" s="56"/>
      <c r="S594" s="56">
        <v>172.5</v>
      </c>
      <c r="T594" s="56"/>
      <c r="U594" s="56">
        <v>0</v>
      </c>
      <c r="V594" s="56"/>
      <c r="W594" s="56">
        <v>172.5</v>
      </c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</row>
    <row r="595" spans="1:39" x14ac:dyDescent="0.4">
      <c r="A595" s="56"/>
      <c r="B595" s="59"/>
      <c r="C595" s="56"/>
      <c r="D595" s="56"/>
      <c r="E595" s="56"/>
      <c r="F595" s="57"/>
      <c r="G595" s="57"/>
      <c r="H595" s="57"/>
      <c r="I595" s="56"/>
      <c r="J595" s="56"/>
      <c r="K595" s="56" t="s">
        <v>722</v>
      </c>
      <c r="L595" s="56"/>
      <c r="M595" s="56"/>
      <c r="N595" s="56"/>
      <c r="O595" s="57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</row>
    <row r="596" spans="1:39" x14ac:dyDescent="0.4">
      <c r="A596" s="56"/>
      <c r="B596" s="59"/>
      <c r="C596" s="56"/>
      <c r="D596" s="56"/>
      <c r="E596" s="56"/>
      <c r="F596" s="57"/>
      <c r="G596" s="57"/>
      <c r="H596" s="57"/>
      <c r="I596" s="56"/>
      <c r="J596" s="56" t="s">
        <v>243</v>
      </c>
      <c r="K596" s="56"/>
      <c r="L596" s="58" t="s">
        <v>723</v>
      </c>
      <c r="M596" s="56"/>
      <c r="N596" s="56"/>
      <c r="O596" s="57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</row>
    <row r="597" spans="1:39" x14ac:dyDescent="0.4">
      <c r="A597" s="56"/>
      <c r="B597" s="59"/>
      <c r="C597" s="56"/>
      <c r="D597" s="56"/>
      <c r="E597" s="56"/>
      <c r="F597" s="57"/>
      <c r="G597" s="57"/>
      <c r="H597" s="57"/>
      <c r="I597" s="56"/>
      <c r="J597" s="56" t="s">
        <v>243</v>
      </c>
      <c r="K597" s="56"/>
      <c r="L597" s="56" t="s">
        <v>772</v>
      </c>
      <c r="M597" s="56">
        <v>31.5</v>
      </c>
      <c r="N597" s="56">
        <v>2</v>
      </c>
      <c r="O597" s="57">
        <v>63000</v>
      </c>
      <c r="P597" s="56">
        <v>0</v>
      </c>
      <c r="Q597" s="56">
        <v>0</v>
      </c>
      <c r="R597" s="56">
        <v>31.5</v>
      </c>
      <c r="S597" s="56">
        <v>63</v>
      </c>
      <c r="T597" s="56">
        <v>0</v>
      </c>
      <c r="U597" s="56">
        <v>0</v>
      </c>
      <c r="V597" s="56">
        <v>31.5</v>
      </c>
      <c r="W597" s="56">
        <v>63</v>
      </c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</row>
    <row r="598" spans="1:39" x14ac:dyDescent="0.4">
      <c r="A598" s="56"/>
      <c r="B598" s="59"/>
      <c r="C598" s="56"/>
      <c r="D598" s="56"/>
      <c r="E598" s="56"/>
      <c r="F598" s="57"/>
      <c r="G598" s="57"/>
      <c r="H598" s="57"/>
      <c r="I598" s="56"/>
      <c r="J598" s="56" t="s">
        <v>243</v>
      </c>
      <c r="K598" s="56"/>
      <c r="L598" s="56" t="s">
        <v>985</v>
      </c>
      <c r="M598" s="56">
        <v>2.9</v>
      </c>
      <c r="N598" s="56">
        <v>5</v>
      </c>
      <c r="O598" s="57">
        <v>14500</v>
      </c>
      <c r="P598" s="56">
        <v>0</v>
      </c>
      <c r="Q598" s="56">
        <v>0</v>
      </c>
      <c r="R598" s="56">
        <v>2.9</v>
      </c>
      <c r="S598" s="56">
        <v>14.5</v>
      </c>
      <c r="T598" s="56">
        <v>0</v>
      </c>
      <c r="U598" s="56">
        <v>0</v>
      </c>
      <c r="V598" s="56">
        <v>2.9</v>
      </c>
      <c r="W598" s="56">
        <v>14.5</v>
      </c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</row>
    <row r="599" spans="1:39" x14ac:dyDescent="0.4">
      <c r="A599" s="56"/>
      <c r="B599" s="59"/>
      <c r="C599" s="56"/>
      <c r="D599" s="56"/>
      <c r="E599" s="56"/>
      <c r="F599" s="57"/>
      <c r="G599" s="57"/>
      <c r="H599" s="57"/>
      <c r="I599" s="56"/>
      <c r="J599" s="56" t="s">
        <v>243</v>
      </c>
      <c r="K599" s="56"/>
      <c r="L599" s="56" t="s">
        <v>986</v>
      </c>
      <c r="M599" s="56">
        <v>8.6</v>
      </c>
      <c r="N599" s="56">
        <v>1</v>
      </c>
      <c r="O599" s="57">
        <v>8600</v>
      </c>
      <c r="P599" s="56">
        <v>0</v>
      </c>
      <c r="Q599" s="56">
        <v>0</v>
      </c>
      <c r="R599" s="56">
        <v>8.6</v>
      </c>
      <c r="S599" s="56">
        <v>8.6</v>
      </c>
      <c r="T599" s="56">
        <v>0</v>
      </c>
      <c r="U599" s="56">
        <v>0</v>
      </c>
      <c r="V599" s="56">
        <v>8.6</v>
      </c>
      <c r="W599" s="56">
        <v>8.6</v>
      </c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</row>
    <row r="600" spans="1:39" x14ac:dyDescent="0.4">
      <c r="A600" s="56"/>
      <c r="B600" s="59"/>
      <c r="C600" s="56"/>
      <c r="D600" s="56"/>
      <c r="E600" s="56"/>
      <c r="F600" s="57"/>
      <c r="G600" s="57"/>
      <c r="H600" s="57"/>
      <c r="I600" s="56"/>
      <c r="J600" s="56" t="s">
        <v>243</v>
      </c>
      <c r="K600" s="56"/>
      <c r="L600" s="56" t="s">
        <v>987</v>
      </c>
      <c r="M600" s="56">
        <v>8.6</v>
      </c>
      <c r="N600" s="56">
        <v>1</v>
      </c>
      <c r="O600" s="57">
        <v>8600</v>
      </c>
      <c r="P600" s="56">
        <v>0</v>
      </c>
      <c r="Q600" s="56">
        <v>0</v>
      </c>
      <c r="R600" s="56">
        <v>8.6</v>
      </c>
      <c r="S600" s="56">
        <v>8.6</v>
      </c>
      <c r="T600" s="56">
        <v>0</v>
      </c>
      <c r="U600" s="56">
        <v>0</v>
      </c>
      <c r="V600" s="56">
        <v>8.6</v>
      </c>
      <c r="W600" s="56">
        <v>8.6</v>
      </c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</row>
    <row r="601" spans="1:39" x14ac:dyDescent="0.4">
      <c r="A601" s="56"/>
      <c r="B601" s="59"/>
      <c r="C601" s="56"/>
      <c r="D601" s="56"/>
      <c r="E601" s="56"/>
      <c r="F601" s="57"/>
      <c r="G601" s="57"/>
      <c r="H601" s="57"/>
      <c r="I601" s="56"/>
      <c r="J601" s="56" t="s">
        <v>243</v>
      </c>
      <c r="K601" s="56"/>
      <c r="L601" s="56" t="s">
        <v>988</v>
      </c>
      <c r="M601" s="56">
        <v>13</v>
      </c>
      <c r="N601" s="56">
        <v>1</v>
      </c>
      <c r="O601" s="57">
        <v>13000</v>
      </c>
      <c r="P601" s="56">
        <v>0</v>
      </c>
      <c r="Q601" s="56">
        <v>0</v>
      </c>
      <c r="R601" s="56">
        <v>13</v>
      </c>
      <c r="S601" s="56">
        <v>13</v>
      </c>
      <c r="T601" s="56">
        <v>0</v>
      </c>
      <c r="U601" s="56">
        <v>0</v>
      </c>
      <c r="V601" s="56">
        <v>13</v>
      </c>
      <c r="W601" s="56">
        <v>13</v>
      </c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</row>
    <row r="602" spans="1:39" x14ac:dyDescent="0.4">
      <c r="A602" s="56"/>
      <c r="B602" s="59"/>
      <c r="C602" s="56"/>
      <c r="D602" s="56"/>
      <c r="E602" s="56"/>
      <c r="F602" s="57"/>
      <c r="G602" s="57"/>
      <c r="H602" s="57"/>
      <c r="I602" s="56"/>
      <c r="J602" s="56" t="s">
        <v>243</v>
      </c>
      <c r="K602" s="56"/>
      <c r="L602" s="56" t="s">
        <v>773</v>
      </c>
      <c r="M602" s="56">
        <v>17.5</v>
      </c>
      <c r="N602" s="56">
        <v>3</v>
      </c>
      <c r="O602" s="57">
        <v>52500</v>
      </c>
      <c r="P602" s="56">
        <v>0</v>
      </c>
      <c r="Q602" s="56">
        <v>0</v>
      </c>
      <c r="R602" s="56">
        <v>17.5</v>
      </c>
      <c r="S602" s="56">
        <v>52.5</v>
      </c>
      <c r="T602" s="56">
        <v>0</v>
      </c>
      <c r="U602" s="56">
        <v>0</v>
      </c>
      <c r="V602" s="56">
        <v>17.5</v>
      </c>
      <c r="W602" s="56">
        <v>52.5</v>
      </c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</row>
    <row r="603" spans="1:39" x14ac:dyDescent="0.4">
      <c r="A603" s="56"/>
      <c r="B603" s="59"/>
      <c r="C603" s="56"/>
      <c r="D603" s="56"/>
      <c r="E603" s="56"/>
      <c r="F603" s="57"/>
      <c r="G603" s="57"/>
      <c r="H603" s="57"/>
      <c r="I603" s="56"/>
      <c r="J603" s="56" t="s">
        <v>243</v>
      </c>
      <c r="K603" s="56"/>
      <c r="L603" s="56" t="s">
        <v>724</v>
      </c>
      <c r="M603" s="56">
        <v>1.5</v>
      </c>
      <c r="N603" s="56">
        <v>5</v>
      </c>
      <c r="O603" s="57">
        <v>7500</v>
      </c>
      <c r="P603" s="56">
        <v>0</v>
      </c>
      <c r="Q603" s="56">
        <v>0</v>
      </c>
      <c r="R603" s="56">
        <v>1.5</v>
      </c>
      <c r="S603" s="56">
        <v>7.5</v>
      </c>
      <c r="T603" s="56">
        <v>0</v>
      </c>
      <c r="U603" s="56">
        <v>0</v>
      </c>
      <c r="V603" s="56">
        <v>1.5</v>
      </c>
      <c r="W603" s="56">
        <v>7.5</v>
      </c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</row>
    <row r="604" spans="1:39" x14ac:dyDescent="0.4">
      <c r="A604" s="56"/>
      <c r="B604" s="59"/>
      <c r="C604" s="56"/>
      <c r="D604" s="56"/>
      <c r="E604" s="56"/>
      <c r="F604" s="57"/>
      <c r="G604" s="57"/>
      <c r="H604" s="57"/>
      <c r="I604" s="56"/>
      <c r="J604" s="56" t="s">
        <v>243</v>
      </c>
      <c r="K604" s="56"/>
      <c r="L604" s="56" t="s">
        <v>856</v>
      </c>
      <c r="M604" s="56">
        <v>7</v>
      </c>
      <c r="N604" s="56">
        <v>1</v>
      </c>
      <c r="O604" s="57">
        <v>7000</v>
      </c>
      <c r="P604" s="56">
        <v>0</v>
      </c>
      <c r="Q604" s="56">
        <v>0</v>
      </c>
      <c r="R604" s="56">
        <v>7</v>
      </c>
      <c r="S604" s="56">
        <v>7</v>
      </c>
      <c r="T604" s="56">
        <v>0</v>
      </c>
      <c r="U604" s="56">
        <v>0</v>
      </c>
      <c r="V604" s="56">
        <v>7</v>
      </c>
      <c r="W604" s="56">
        <v>7</v>
      </c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</row>
    <row r="605" spans="1:39" x14ac:dyDescent="0.4">
      <c r="A605" s="56"/>
      <c r="B605" s="59"/>
      <c r="C605" s="56"/>
      <c r="D605" s="56"/>
      <c r="E605" s="56"/>
      <c r="F605" s="57"/>
      <c r="G605" s="57"/>
      <c r="H605" s="57"/>
      <c r="I605" s="56"/>
      <c r="J605" s="56" t="s">
        <v>243</v>
      </c>
      <c r="K605" s="56"/>
      <c r="L605" s="56" t="s">
        <v>828</v>
      </c>
      <c r="M605" s="56">
        <v>30</v>
      </c>
      <c r="N605" s="56">
        <v>4</v>
      </c>
      <c r="O605" s="57">
        <v>120000</v>
      </c>
      <c r="P605" s="56">
        <v>0</v>
      </c>
      <c r="Q605" s="56">
        <v>0</v>
      </c>
      <c r="R605" s="56">
        <v>30</v>
      </c>
      <c r="S605" s="56">
        <v>120</v>
      </c>
      <c r="T605" s="56">
        <v>0</v>
      </c>
      <c r="U605" s="56">
        <v>0</v>
      </c>
      <c r="V605" s="56">
        <v>30</v>
      </c>
      <c r="W605" s="56">
        <v>120</v>
      </c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</row>
    <row r="606" spans="1:39" x14ac:dyDescent="0.4">
      <c r="A606" s="56"/>
      <c r="B606" s="59"/>
      <c r="C606" s="56"/>
      <c r="D606" s="56"/>
      <c r="E606" s="56"/>
      <c r="F606" s="57"/>
      <c r="G606" s="57"/>
      <c r="H606" s="57"/>
      <c r="I606" s="56"/>
      <c r="J606" s="56" t="s">
        <v>243</v>
      </c>
      <c r="K606" s="56"/>
      <c r="L606" s="56" t="s">
        <v>989</v>
      </c>
      <c r="M606" s="56">
        <v>26</v>
      </c>
      <c r="N606" s="56">
        <v>1</v>
      </c>
      <c r="O606" s="57">
        <v>26000</v>
      </c>
      <c r="P606" s="56">
        <v>0</v>
      </c>
      <c r="Q606" s="56">
        <v>0</v>
      </c>
      <c r="R606" s="56">
        <v>26</v>
      </c>
      <c r="S606" s="56">
        <v>26</v>
      </c>
      <c r="T606" s="56">
        <v>0</v>
      </c>
      <c r="U606" s="56">
        <v>0</v>
      </c>
      <c r="V606" s="56">
        <v>26</v>
      </c>
      <c r="W606" s="56">
        <v>26</v>
      </c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</row>
    <row r="607" spans="1:39" x14ac:dyDescent="0.4">
      <c r="A607" s="56"/>
      <c r="B607" s="59"/>
      <c r="C607" s="56"/>
      <c r="D607" s="56"/>
      <c r="E607" s="56"/>
      <c r="F607" s="57"/>
      <c r="G607" s="57"/>
      <c r="H607" s="57"/>
      <c r="I607" s="56"/>
      <c r="J607" s="56" t="s">
        <v>243</v>
      </c>
      <c r="K607" s="56"/>
      <c r="L607" s="56" t="s">
        <v>725</v>
      </c>
      <c r="M607" s="56"/>
      <c r="N607" s="56"/>
      <c r="O607" s="57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</row>
    <row r="608" spans="1:39" x14ac:dyDescent="0.4">
      <c r="A608" s="56"/>
      <c r="B608" s="59"/>
      <c r="C608" s="56"/>
      <c r="D608" s="56"/>
      <c r="E608" s="56"/>
      <c r="F608" s="57"/>
      <c r="G608" s="57"/>
      <c r="H608" s="57"/>
      <c r="I608" s="56"/>
      <c r="J608" s="56" t="s">
        <v>243</v>
      </c>
      <c r="K608" s="56"/>
      <c r="L608" s="56" t="s">
        <v>726</v>
      </c>
      <c r="M608" s="56">
        <v>7.9</v>
      </c>
      <c r="N608" s="56">
        <v>50</v>
      </c>
      <c r="O608" s="57">
        <v>395000</v>
      </c>
      <c r="P608" s="56">
        <v>0</v>
      </c>
      <c r="Q608" s="56">
        <v>0</v>
      </c>
      <c r="R608" s="56">
        <v>7.9</v>
      </c>
      <c r="S608" s="56">
        <v>395</v>
      </c>
      <c r="T608" s="56">
        <v>0</v>
      </c>
      <c r="U608" s="56">
        <v>0</v>
      </c>
      <c r="V608" s="56">
        <v>7.9</v>
      </c>
      <c r="W608" s="56">
        <v>395</v>
      </c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</row>
    <row r="609" spans="1:39" x14ac:dyDescent="0.4">
      <c r="A609" s="56"/>
      <c r="B609" s="59"/>
      <c r="C609" s="56"/>
      <c r="D609" s="56"/>
      <c r="E609" s="56"/>
      <c r="F609" s="57"/>
      <c r="G609" s="57"/>
      <c r="H609" s="57"/>
      <c r="I609" s="56"/>
      <c r="J609" s="56" t="s">
        <v>243</v>
      </c>
      <c r="K609" s="56"/>
      <c r="L609" s="56" t="s">
        <v>727</v>
      </c>
      <c r="M609" s="56">
        <v>300</v>
      </c>
      <c r="N609" s="56">
        <v>1</v>
      </c>
      <c r="O609" s="57">
        <v>300000</v>
      </c>
      <c r="P609" s="56">
        <v>0</v>
      </c>
      <c r="Q609" s="56">
        <v>0</v>
      </c>
      <c r="R609" s="56">
        <v>300</v>
      </c>
      <c r="S609" s="56">
        <v>300</v>
      </c>
      <c r="T609" s="56">
        <v>0</v>
      </c>
      <c r="U609" s="56">
        <v>0</v>
      </c>
      <c r="V609" s="56">
        <v>300</v>
      </c>
      <c r="W609" s="56">
        <v>300</v>
      </c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</row>
    <row r="610" spans="1:39" x14ac:dyDescent="0.4">
      <c r="A610" s="56"/>
      <c r="B610" s="59"/>
      <c r="C610" s="56"/>
      <c r="D610" s="56"/>
      <c r="E610" s="56"/>
      <c r="F610" s="57"/>
      <c r="G610" s="57"/>
      <c r="H610" s="57"/>
      <c r="I610" s="56"/>
      <c r="J610" s="56" t="s">
        <v>243</v>
      </c>
      <c r="K610" s="56"/>
      <c r="L610" s="56" t="s">
        <v>728</v>
      </c>
      <c r="M610" s="56">
        <v>20</v>
      </c>
      <c r="N610" s="56">
        <v>1</v>
      </c>
      <c r="O610" s="57">
        <v>20000</v>
      </c>
      <c r="P610" s="56">
        <v>0</v>
      </c>
      <c r="Q610" s="56">
        <v>0</v>
      </c>
      <c r="R610" s="56">
        <v>20</v>
      </c>
      <c r="S610" s="56">
        <v>20</v>
      </c>
      <c r="T610" s="56">
        <v>0</v>
      </c>
      <c r="U610" s="56">
        <v>0</v>
      </c>
      <c r="V610" s="56">
        <v>20</v>
      </c>
      <c r="W610" s="56">
        <v>20</v>
      </c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</row>
    <row r="611" spans="1:39" x14ac:dyDescent="0.4">
      <c r="A611" s="56"/>
      <c r="B611" s="59"/>
      <c r="C611" s="56"/>
      <c r="D611" s="56"/>
      <c r="E611" s="56"/>
      <c r="F611" s="57"/>
      <c r="G611" s="57"/>
      <c r="H611" s="57"/>
      <c r="I611" s="56"/>
      <c r="J611" s="56" t="s">
        <v>243</v>
      </c>
      <c r="K611" s="56"/>
      <c r="L611" s="56" t="s">
        <v>729</v>
      </c>
      <c r="M611" s="56">
        <v>20</v>
      </c>
      <c r="N611" s="56">
        <v>1</v>
      </c>
      <c r="O611" s="57">
        <v>20000</v>
      </c>
      <c r="P611" s="56">
        <v>0</v>
      </c>
      <c r="Q611" s="56">
        <v>0</v>
      </c>
      <c r="R611" s="56">
        <v>20</v>
      </c>
      <c r="S611" s="56">
        <v>20</v>
      </c>
      <c r="T611" s="56">
        <v>0</v>
      </c>
      <c r="U611" s="56">
        <v>0</v>
      </c>
      <c r="V611" s="56">
        <v>20</v>
      </c>
      <c r="W611" s="56">
        <v>20</v>
      </c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</row>
    <row r="612" spans="1:39" x14ac:dyDescent="0.4">
      <c r="A612" s="56"/>
      <c r="B612" s="59"/>
      <c r="C612" s="56"/>
      <c r="D612" s="56"/>
      <c r="E612" s="56"/>
      <c r="F612" s="57"/>
      <c r="G612" s="57"/>
      <c r="H612" s="57"/>
      <c r="I612" s="56"/>
      <c r="J612" s="56" t="s">
        <v>243</v>
      </c>
      <c r="K612" s="56"/>
      <c r="L612" s="56" t="s">
        <v>990</v>
      </c>
      <c r="M612" s="56">
        <v>15.3</v>
      </c>
      <c r="N612" s="56">
        <v>2</v>
      </c>
      <c r="O612" s="57">
        <v>30600</v>
      </c>
      <c r="P612" s="56">
        <v>0</v>
      </c>
      <c r="Q612" s="56">
        <v>0</v>
      </c>
      <c r="R612" s="56">
        <v>15.3</v>
      </c>
      <c r="S612" s="56">
        <v>30.6</v>
      </c>
      <c r="T612" s="56">
        <v>0</v>
      </c>
      <c r="U612" s="56">
        <v>0</v>
      </c>
      <c r="V612" s="56">
        <v>15.3</v>
      </c>
      <c r="W612" s="56">
        <v>30.6</v>
      </c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</row>
    <row r="613" spans="1:39" x14ac:dyDescent="0.4">
      <c r="A613" s="56"/>
      <c r="B613" s="59"/>
      <c r="C613" s="56"/>
      <c r="D613" s="56"/>
      <c r="E613" s="56"/>
      <c r="F613" s="57"/>
      <c r="G613" s="57"/>
      <c r="H613" s="57"/>
      <c r="I613" s="56"/>
      <c r="J613" s="56" t="s">
        <v>243</v>
      </c>
      <c r="K613" s="56"/>
      <c r="L613" s="56" t="s">
        <v>730</v>
      </c>
      <c r="M613" s="56"/>
      <c r="N613" s="56"/>
      <c r="O613" s="57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</row>
    <row r="614" spans="1:39" x14ac:dyDescent="0.4">
      <c r="A614" s="56"/>
      <c r="B614" s="59"/>
      <c r="C614" s="56"/>
      <c r="D614" s="56"/>
      <c r="E614" s="56"/>
      <c r="F614" s="57"/>
      <c r="G614" s="57"/>
      <c r="H614" s="57"/>
      <c r="I614" s="56"/>
      <c r="J614" s="56" t="s">
        <v>243</v>
      </c>
      <c r="K614" s="56"/>
      <c r="L614" s="56" t="s">
        <v>731</v>
      </c>
      <c r="M614" s="56">
        <v>9</v>
      </c>
      <c r="N614" s="56">
        <v>2</v>
      </c>
      <c r="O614" s="57">
        <v>18000</v>
      </c>
      <c r="P614" s="56">
        <v>0</v>
      </c>
      <c r="Q614" s="56">
        <v>0</v>
      </c>
      <c r="R614" s="56">
        <v>9</v>
      </c>
      <c r="S614" s="56">
        <v>18</v>
      </c>
      <c r="T614" s="56">
        <v>0</v>
      </c>
      <c r="U614" s="56">
        <v>0</v>
      </c>
      <c r="V614" s="56">
        <v>9</v>
      </c>
      <c r="W614" s="56">
        <v>18</v>
      </c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</row>
    <row r="615" spans="1:39" x14ac:dyDescent="0.4">
      <c r="A615" s="56"/>
      <c r="B615" s="59"/>
      <c r="C615" s="56"/>
      <c r="D615" s="56"/>
      <c r="E615" s="56"/>
      <c r="F615" s="57"/>
      <c r="G615" s="57"/>
      <c r="H615" s="57"/>
      <c r="I615" s="56"/>
      <c r="J615" s="56" t="s">
        <v>243</v>
      </c>
      <c r="K615" s="56"/>
      <c r="L615" s="56" t="s">
        <v>732</v>
      </c>
      <c r="M615" s="56">
        <v>3</v>
      </c>
      <c r="N615" s="56">
        <v>2</v>
      </c>
      <c r="O615" s="57">
        <v>6000</v>
      </c>
      <c r="P615" s="56">
        <v>0</v>
      </c>
      <c r="Q615" s="56">
        <v>0</v>
      </c>
      <c r="R615" s="56">
        <v>3</v>
      </c>
      <c r="S615" s="56">
        <v>6</v>
      </c>
      <c r="T615" s="56">
        <v>0</v>
      </c>
      <c r="U615" s="56">
        <v>0</v>
      </c>
      <c r="V615" s="56">
        <v>3</v>
      </c>
      <c r="W615" s="56">
        <v>6</v>
      </c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</row>
    <row r="616" spans="1:39" x14ac:dyDescent="0.4">
      <c r="A616" s="56"/>
      <c r="B616" s="59"/>
      <c r="C616" s="56"/>
      <c r="D616" s="56"/>
      <c r="E616" s="56"/>
      <c r="F616" s="57"/>
      <c r="G616" s="57"/>
      <c r="H616" s="57"/>
      <c r="I616" s="56"/>
      <c r="J616" s="56" t="s">
        <v>243</v>
      </c>
      <c r="K616" s="56"/>
      <c r="L616" s="56" t="s">
        <v>733</v>
      </c>
      <c r="M616" s="56">
        <v>10</v>
      </c>
      <c r="N616" s="56">
        <v>1</v>
      </c>
      <c r="O616" s="57">
        <v>10000</v>
      </c>
      <c r="P616" s="56">
        <v>0</v>
      </c>
      <c r="Q616" s="56">
        <v>0</v>
      </c>
      <c r="R616" s="56">
        <v>10</v>
      </c>
      <c r="S616" s="56">
        <v>10</v>
      </c>
      <c r="T616" s="56">
        <v>0</v>
      </c>
      <c r="U616" s="56">
        <v>0</v>
      </c>
      <c r="V616" s="56">
        <v>10</v>
      </c>
      <c r="W616" s="56">
        <v>10</v>
      </c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</row>
    <row r="617" spans="1:39" x14ac:dyDescent="0.4">
      <c r="A617" s="56"/>
      <c r="B617" s="59"/>
      <c r="C617" s="56"/>
      <c r="D617" s="56"/>
      <c r="E617" s="56"/>
      <c r="F617" s="57"/>
      <c r="G617" s="57"/>
      <c r="H617" s="57"/>
      <c r="I617" s="56"/>
      <c r="J617" s="56" t="s">
        <v>243</v>
      </c>
      <c r="K617" s="56"/>
      <c r="L617" s="56" t="s">
        <v>734</v>
      </c>
      <c r="M617" s="56">
        <v>4.5999999999999996</v>
      </c>
      <c r="N617" s="56">
        <v>4</v>
      </c>
      <c r="O617" s="57">
        <v>18400</v>
      </c>
      <c r="P617" s="56">
        <v>0</v>
      </c>
      <c r="Q617" s="56">
        <v>0</v>
      </c>
      <c r="R617" s="56">
        <v>4.5999999999999996</v>
      </c>
      <c r="S617" s="56">
        <v>18.399999999999999</v>
      </c>
      <c r="T617" s="56">
        <v>0</v>
      </c>
      <c r="U617" s="56">
        <v>0</v>
      </c>
      <c r="V617" s="56">
        <v>4.5999999999999996</v>
      </c>
      <c r="W617" s="56">
        <v>18.399999999999999</v>
      </c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</row>
    <row r="618" spans="1:39" x14ac:dyDescent="0.4">
      <c r="A618" s="56"/>
      <c r="B618" s="59"/>
      <c r="C618" s="56"/>
      <c r="D618" s="56"/>
      <c r="E618" s="56"/>
      <c r="F618" s="57"/>
      <c r="G618" s="57"/>
      <c r="H618" s="57"/>
      <c r="I618" s="56"/>
      <c r="J618" s="56" t="s">
        <v>243</v>
      </c>
      <c r="K618" s="56"/>
      <c r="L618" s="56" t="s">
        <v>735</v>
      </c>
      <c r="M618" s="56">
        <v>6.6</v>
      </c>
      <c r="N618" s="56">
        <v>1</v>
      </c>
      <c r="O618" s="57">
        <v>6600</v>
      </c>
      <c r="P618" s="56">
        <v>0</v>
      </c>
      <c r="Q618" s="56">
        <v>0</v>
      </c>
      <c r="R618" s="56">
        <v>6.6</v>
      </c>
      <c r="S618" s="56">
        <v>6.6</v>
      </c>
      <c r="T618" s="56">
        <v>0</v>
      </c>
      <c r="U618" s="56">
        <v>0</v>
      </c>
      <c r="V618" s="56">
        <v>6.6</v>
      </c>
      <c r="W618" s="56">
        <v>6.6</v>
      </c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</row>
    <row r="619" spans="1:39" x14ac:dyDescent="0.4">
      <c r="A619" s="56"/>
      <c r="B619" s="59"/>
      <c r="C619" s="56"/>
      <c r="D619" s="56"/>
      <c r="E619" s="56"/>
      <c r="F619" s="57"/>
      <c r="G619" s="57"/>
      <c r="H619" s="57"/>
      <c r="I619" s="56"/>
      <c r="J619" s="56" t="s">
        <v>243</v>
      </c>
      <c r="K619" s="56"/>
      <c r="L619" s="56" t="s">
        <v>736</v>
      </c>
      <c r="M619" s="56">
        <v>19.100000000000001</v>
      </c>
      <c r="N619" s="56">
        <v>1</v>
      </c>
      <c r="O619" s="57">
        <v>19100</v>
      </c>
      <c r="P619" s="56">
        <v>0</v>
      </c>
      <c r="Q619" s="56">
        <v>0</v>
      </c>
      <c r="R619" s="56">
        <v>19.100000000000001</v>
      </c>
      <c r="S619" s="56">
        <v>19.100000000000001</v>
      </c>
      <c r="T619" s="56">
        <v>0</v>
      </c>
      <c r="U619" s="56">
        <v>0</v>
      </c>
      <c r="V619" s="56">
        <v>19.100000000000001</v>
      </c>
      <c r="W619" s="56">
        <v>19.100000000000001</v>
      </c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</row>
    <row r="620" spans="1:39" x14ac:dyDescent="0.4">
      <c r="A620" s="56"/>
      <c r="B620" s="59"/>
      <c r="C620" s="56"/>
      <c r="D620" s="56"/>
      <c r="E620" s="56"/>
      <c r="F620" s="57"/>
      <c r="G620" s="57"/>
      <c r="H620" s="57"/>
      <c r="I620" s="56"/>
      <c r="J620" s="56" t="s">
        <v>243</v>
      </c>
      <c r="K620" s="56"/>
      <c r="L620" s="58" t="s">
        <v>991</v>
      </c>
      <c r="M620" s="56">
        <v>3</v>
      </c>
      <c r="N620" s="56">
        <v>5</v>
      </c>
      <c r="O620" s="57">
        <v>15000</v>
      </c>
      <c r="P620" s="58">
        <v>0</v>
      </c>
      <c r="Q620" s="56">
        <v>0</v>
      </c>
      <c r="R620" s="56">
        <v>3</v>
      </c>
      <c r="S620" s="56">
        <v>15</v>
      </c>
      <c r="T620" s="56">
        <v>0</v>
      </c>
      <c r="U620" s="56">
        <v>0</v>
      </c>
      <c r="V620" s="56">
        <v>3</v>
      </c>
      <c r="W620" s="56">
        <v>15</v>
      </c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</row>
    <row r="621" spans="1:39" x14ac:dyDescent="0.4">
      <c r="A621" s="56"/>
      <c r="B621" s="59"/>
      <c r="C621" s="56"/>
      <c r="D621" s="56"/>
      <c r="E621" s="56"/>
      <c r="F621" s="57"/>
      <c r="G621" s="57"/>
      <c r="H621" s="57"/>
      <c r="I621" s="56"/>
      <c r="J621" s="56" t="s">
        <v>243</v>
      </c>
      <c r="K621" s="56"/>
      <c r="L621" s="56" t="s">
        <v>737</v>
      </c>
      <c r="M621" s="56">
        <v>28</v>
      </c>
      <c r="N621" s="56">
        <v>1</v>
      </c>
      <c r="O621" s="57">
        <v>28000</v>
      </c>
      <c r="P621" s="56">
        <v>0</v>
      </c>
      <c r="Q621" s="56">
        <v>0</v>
      </c>
      <c r="R621" s="56">
        <v>28</v>
      </c>
      <c r="S621" s="56">
        <v>28</v>
      </c>
      <c r="T621" s="56">
        <v>0</v>
      </c>
      <c r="U621" s="56">
        <v>0</v>
      </c>
      <c r="V621" s="56">
        <v>28</v>
      </c>
      <c r="W621" s="56">
        <v>28</v>
      </c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</row>
    <row r="622" spans="1:39" x14ac:dyDescent="0.4">
      <c r="A622" s="56"/>
      <c r="B622" s="59"/>
      <c r="C622" s="56"/>
      <c r="D622" s="56"/>
      <c r="E622" s="56"/>
      <c r="F622" s="57"/>
      <c r="G622" s="57"/>
      <c r="H622" s="57"/>
      <c r="I622" s="56"/>
      <c r="J622" s="56" t="s">
        <v>243</v>
      </c>
      <c r="K622" s="56"/>
      <c r="L622" s="56" t="s">
        <v>992</v>
      </c>
      <c r="M622" s="56">
        <v>4.2</v>
      </c>
      <c r="N622" s="56">
        <v>1</v>
      </c>
      <c r="O622" s="57">
        <v>4200</v>
      </c>
      <c r="P622" s="56">
        <v>0</v>
      </c>
      <c r="Q622" s="56">
        <v>0</v>
      </c>
      <c r="R622" s="56">
        <v>4.2</v>
      </c>
      <c r="S622" s="56">
        <v>4.2</v>
      </c>
      <c r="T622" s="56">
        <v>0</v>
      </c>
      <c r="U622" s="56">
        <v>0</v>
      </c>
      <c r="V622" s="56">
        <v>4.2</v>
      </c>
      <c r="W622" s="56">
        <v>4.2</v>
      </c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</row>
    <row r="623" spans="1:39" x14ac:dyDescent="0.4">
      <c r="A623" s="56"/>
      <c r="B623" s="59"/>
      <c r="C623" s="56"/>
      <c r="D623" s="56"/>
      <c r="E623" s="56"/>
      <c r="F623" s="57"/>
      <c r="G623" s="57"/>
      <c r="H623" s="57"/>
      <c r="I623" s="56"/>
      <c r="J623" s="56" t="s">
        <v>243</v>
      </c>
      <c r="K623" s="56"/>
      <c r="L623" s="56" t="s">
        <v>993</v>
      </c>
      <c r="M623" s="56">
        <v>16</v>
      </c>
      <c r="N623" s="56">
        <v>1</v>
      </c>
      <c r="O623" s="57">
        <v>16000</v>
      </c>
      <c r="P623" s="56">
        <v>0</v>
      </c>
      <c r="Q623" s="56">
        <v>0</v>
      </c>
      <c r="R623" s="56">
        <v>16</v>
      </c>
      <c r="S623" s="56">
        <v>16</v>
      </c>
      <c r="T623" s="56">
        <v>0</v>
      </c>
      <c r="U623" s="56">
        <v>0</v>
      </c>
      <c r="V623" s="56">
        <v>16</v>
      </c>
      <c r="W623" s="56">
        <v>16</v>
      </c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</row>
    <row r="624" spans="1:39" x14ac:dyDescent="0.4">
      <c r="A624" s="56"/>
      <c r="B624" s="59"/>
      <c r="C624" s="56"/>
      <c r="D624" s="56"/>
      <c r="E624" s="56"/>
      <c r="F624" s="57"/>
      <c r="G624" s="57"/>
      <c r="H624" s="57"/>
      <c r="I624" s="56"/>
      <c r="J624" s="56" t="s">
        <v>243</v>
      </c>
      <c r="K624" s="56"/>
      <c r="L624" s="56" t="s">
        <v>994</v>
      </c>
      <c r="M624" s="56">
        <v>30</v>
      </c>
      <c r="N624" s="56">
        <v>1</v>
      </c>
      <c r="O624" s="57">
        <v>30000</v>
      </c>
      <c r="P624" s="56">
        <v>0</v>
      </c>
      <c r="Q624" s="56">
        <v>0</v>
      </c>
      <c r="R624" s="56">
        <v>30</v>
      </c>
      <c r="S624" s="56">
        <v>30</v>
      </c>
      <c r="T624" s="56">
        <v>0</v>
      </c>
      <c r="U624" s="56">
        <v>0</v>
      </c>
      <c r="V624" s="56">
        <v>30</v>
      </c>
      <c r="W624" s="56">
        <v>30</v>
      </c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</row>
    <row r="625" spans="1:39" x14ac:dyDescent="0.4">
      <c r="A625" s="56"/>
      <c r="B625" s="59"/>
      <c r="C625" s="56"/>
      <c r="D625" s="56"/>
      <c r="E625" s="56"/>
      <c r="F625" s="57"/>
      <c r="G625" s="57"/>
      <c r="H625" s="57"/>
      <c r="I625" s="56"/>
      <c r="J625" s="56"/>
      <c r="K625" s="56" t="s">
        <v>738</v>
      </c>
      <c r="L625" s="56"/>
      <c r="M625" s="56"/>
      <c r="N625" s="56"/>
      <c r="O625" s="57">
        <v>1257600</v>
      </c>
      <c r="P625" s="56"/>
      <c r="Q625" s="56">
        <v>0</v>
      </c>
      <c r="R625" s="56"/>
      <c r="S625" s="56">
        <v>1257.5999999999999</v>
      </c>
      <c r="T625" s="56"/>
      <c r="U625" s="56">
        <v>0</v>
      </c>
      <c r="V625" s="56"/>
      <c r="W625" s="56">
        <v>1257.5999999999999</v>
      </c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</row>
    <row r="626" spans="1:39" x14ac:dyDescent="0.4">
      <c r="A626" s="56"/>
      <c r="B626" s="59"/>
      <c r="C626" s="56"/>
      <c r="D626" s="56"/>
      <c r="E626" s="56"/>
      <c r="F626" s="57"/>
      <c r="G626" s="57"/>
      <c r="H626" s="57"/>
      <c r="I626" s="56"/>
      <c r="J626" s="56" t="s">
        <v>233</v>
      </c>
      <c r="K626" s="56"/>
      <c r="L626" s="56"/>
      <c r="M626" s="56"/>
      <c r="N626" s="56"/>
      <c r="O626" s="57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</row>
    <row r="627" spans="1:39" x14ac:dyDescent="0.4">
      <c r="A627" s="56"/>
      <c r="B627" s="59"/>
      <c r="C627" s="56"/>
      <c r="D627" s="56"/>
      <c r="E627" s="56"/>
      <c r="F627" s="57"/>
      <c r="G627" s="57"/>
      <c r="H627" s="57"/>
      <c r="I627" s="56"/>
      <c r="J627" s="56"/>
      <c r="K627" s="56" t="s">
        <v>289</v>
      </c>
      <c r="L627" s="56"/>
      <c r="M627" s="56"/>
      <c r="N627" s="56"/>
      <c r="O627" s="57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</row>
    <row r="628" spans="1:39" x14ac:dyDescent="0.4">
      <c r="A628" s="56"/>
      <c r="B628" s="59"/>
      <c r="C628" s="56"/>
      <c r="D628" s="56"/>
      <c r="E628" s="56"/>
      <c r="F628" s="57"/>
      <c r="G628" s="57"/>
      <c r="H628" s="57"/>
      <c r="I628" s="56"/>
      <c r="J628" s="56"/>
      <c r="K628" s="56" t="s">
        <v>739</v>
      </c>
      <c r="L628" s="56"/>
      <c r="M628" s="56"/>
      <c r="N628" s="56"/>
      <c r="O628" s="57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</row>
    <row r="629" spans="1:39" x14ac:dyDescent="0.4">
      <c r="A629" s="56"/>
      <c r="B629" s="59"/>
      <c r="C629" s="56"/>
      <c r="D629" s="56"/>
      <c r="E629" s="56"/>
      <c r="F629" s="57"/>
      <c r="G629" s="57"/>
      <c r="H629" s="57"/>
      <c r="I629" s="56"/>
      <c r="J629" s="56"/>
      <c r="K629" s="56" t="s">
        <v>740</v>
      </c>
      <c r="L629" s="56"/>
      <c r="M629" s="56"/>
      <c r="N629" s="56"/>
      <c r="O629" s="57">
        <v>0</v>
      </c>
      <c r="P629" s="56"/>
      <c r="Q629" s="56">
        <v>0</v>
      </c>
      <c r="R629" s="56"/>
      <c r="S629" s="56">
        <v>0</v>
      </c>
      <c r="T629" s="56"/>
      <c r="U629" s="56">
        <v>0</v>
      </c>
      <c r="V629" s="56"/>
      <c r="W629" s="56">
        <v>0</v>
      </c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</row>
    <row r="630" spans="1:39" x14ac:dyDescent="0.4">
      <c r="A630" s="56"/>
      <c r="B630" s="59"/>
      <c r="C630" s="56"/>
      <c r="D630" s="56"/>
      <c r="E630" s="56"/>
      <c r="F630" s="57"/>
      <c r="G630" s="57"/>
      <c r="H630" s="57"/>
      <c r="I630" s="56"/>
      <c r="J630" s="56"/>
      <c r="K630" s="56" t="s">
        <v>289</v>
      </c>
      <c r="L630" s="56"/>
      <c r="M630" s="56"/>
      <c r="N630" s="56"/>
      <c r="O630" s="57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</row>
    <row r="631" spans="1:39" x14ac:dyDescent="0.4">
      <c r="A631" s="56"/>
      <c r="B631" s="59"/>
      <c r="C631" s="56"/>
      <c r="D631" s="56"/>
      <c r="E631" s="56"/>
      <c r="F631" s="57"/>
      <c r="G631" s="57"/>
      <c r="H631" s="57"/>
      <c r="I631" s="56"/>
      <c r="J631" s="56"/>
      <c r="K631" s="56"/>
      <c r="L631" s="56" t="s">
        <v>741</v>
      </c>
      <c r="M631" s="56"/>
      <c r="N631" s="56"/>
      <c r="O631" s="57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</row>
    <row r="632" spans="1:39" x14ac:dyDescent="0.4">
      <c r="A632" s="56"/>
      <c r="B632" s="59"/>
      <c r="C632" s="56"/>
      <c r="D632" s="56"/>
      <c r="E632" s="56"/>
      <c r="F632" s="57"/>
      <c r="G632" s="57"/>
      <c r="H632" s="57"/>
      <c r="I632" s="56"/>
      <c r="J632" s="56"/>
      <c r="K632" s="56"/>
      <c r="L632" s="56" t="s">
        <v>995</v>
      </c>
      <c r="M632" s="56">
        <v>-10</v>
      </c>
      <c r="N632" s="56">
        <v>31.2</v>
      </c>
      <c r="O632" s="57">
        <v>-312000</v>
      </c>
      <c r="P632" s="56">
        <v>0</v>
      </c>
      <c r="Q632" s="56">
        <v>0</v>
      </c>
      <c r="R632" s="56">
        <v>-10</v>
      </c>
      <c r="S632" s="56">
        <v>-312</v>
      </c>
      <c r="T632" s="56">
        <v>0</v>
      </c>
      <c r="U632" s="56">
        <v>0</v>
      </c>
      <c r="V632" s="56">
        <v>-10</v>
      </c>
      <c r="W632" s="56">
        <v>-312</v>
      </c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</row>
    <row r="633" spans="1:39" x14ac:dyDescent="0.4">
      <c r="A633" s="56"/>
      <c r="B633" s="59"/>
      <c r="C633" s="56"/>
      <c r="D633" s="56"/>
      <c r="E633" s="56"/>
      <c r="F633" s="57"/>
      <c r="G633" s="57"/>
      <c r="H633" s="57"/>
      <c r="I633" s="56"/>
      <c r="J633" s="56"/>
      <c r="K633" s="56" t="s">
        <v>289</v>
      </c>
      <c r="L633" s="56"/>
      <c r="M633" s="56"/>
      <c r="N633" s="56"/>
      <c r="O633" s="57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</row>
    <row r="634" spans="1:39" x14ac:dyDescent="0.4">
      <c r="A634" s="56"/>
      <c r="B634" s="59"/>
      <c r="C634" s="56"/>
      <c r="D634" s="56"/>
      <c r="E634" s="56"/>
      <c r="F634" s="57"/>
      <c r="G634" s="57"/>
      <c r="H634" s="57"/>
      <c r="I634" s="56"/>
      <c r="J634" s="56"/>
      <c r="K634" s="56" t="s">
        <v>742</v>
      </c>
      <c r="L634" s="56"/>
      <c r="M634" s="56"/>
      <c r="N634" s="56"/>
      <c r="O634" s="57">
        <v>-312000</v>
      </c>
      <c r="P634" s="56"/>
      <c r="Q634" s="56">
        <v>0</v>
      </c>
      <c r="R634" s="56"/>
      <c r="S634" s="56">
        <v>-312</v>
      </c>
      <c r="T634" s="56"/>
      <c r="U634" s="56">
        <v>0</v>
      </c>
      <c r="V634" s="56"/>
      <c r="W634" s="56">
        <v>-312</v>
      </c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</row>
    <row r="635" spans="1:39" x14ac:dyDescent="0.4">
      <c r="A635" s="56"/>
      <c r="B635" s="59"/>
      <c r="C635" s="56"/>
      <c r="D635" s="56"/>
      <c r="E635" s="56"/>
      <c r="F635" s="57"/>
      <c r="G635" s="57"/>
      <c r="H635" s="57"/>
      <c r="I635" s="56"/>
      <c r="J635" s="56"/>
      <c r="K635" s="56"/>
      <c r="L635" s="56"/>
      <c r="M635" s="56"/>
      <c r="N635" s="56"/>
      <c r="O635" s="57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</row>
    <row r="636" spans="1:39" x14ac:dyDescent="0.4">
      <c r="A636" s="56"/>
      <c r="B636" s="59"/>
      <c r="C636" s="56"/>
      <c r="D636" s="56"/>
      <c r="E636" s="56"/>
      <c r="F636" s="57"/>
      <c r="G636" s="57"/>
      <c r="H636" s="57"/>
      <c r="I636" s="56"/>
      <c r="J636" s="56"/>
      <c r="K636" s="56"/>
      <c r="L636" s="56"/>
      <c r="M636" s="56"/>
      <c r="N636" s="56"/>
      <c r="O636" s="57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</row>
    <row r="637" spans="1:39" x14ac:dyDescent="0.4">
      <c r="A637" s="56"/>
      <c r="B637" s="59"/>
      <c r="C637" s="56"/>
      <c r="D637" s="56"/>
      <c r="E637" s="56"/>
      <c r="F637" s="57"/>
      <c r="G637" s="57"/>
      <c r="H637" s="57"/>
      <c r="I637" s="56"/>
      <c r="J637" s="56"/>
      <c r="K637" s="56"/>
      <c r="L637" s="56"/>
      <c r="M637" s="56"/>
      <c r="N637" s="56"/>
      <c r="O637" s="57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</row>
    <row r="638" spans="1:39" x14ac:dyDescent="0.4">
      <c r="A638" s="56"/>
      <c r="B638" s="59"/>
      <c r="C638" s="56"/>
      <c r="D638" s="56"/>
      <c r="E638" s="56"/>
      <c r="F638" s="57"/>
      <c r="G638" s="57"/>
      <c r="H638" s="57"/>
      <c r="I638" s="56"/>
      <c r="J638" s="56"/>
      <c r="K638" s="56"/>
      <c r="L638" s="56"/>
      <c r="M638" s="56"/>
      <c r="N638" s="56"/>
      <c r="O638" s="57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</row>
    <row r="639" spans="1:39" x14ac:dyDescent="0.4">
      <c r="A639" s="56"/>
      <c r="B639" s="59"/>
      <c r="C639" s="56"/>
      <c r="D639" s="56"/>
      <c r="E639" s="56"/>
      <c r="F639" s="57"/>
      <c r="G639" s="57"/>
      <c r="H639" s="57"/>
      <c r="I639" s="56"/>
      <c r="J639" s="56"/>
      <c r="K639" s="56"/>
      <c r="L639" s="56"/>
      <c r="M639" s="56"/>
      <c r="N639" s="56"/>
      <c r="O639" s="57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</row>
    <row r="640" spans="1:39" x14ac:dyDescent="0.4">
      <c r="A640" s="56"/>
      <c r="B640" s="59"/>
      <c r="C640" s="56"/>
      <c r="D640" s="56"/>
      <c r="E640" s="56"/>
      <c r="F640" s="57"/>
      <c r="G640" s="57"/>
      <c r="H640" s="57"/>
      <c r="I640" s="56"/>
      <c r="J640" s="56"/>
      <c r="K640" s="56"/>
      <c r="L640" s="56"/>
      <c r="M640" s="56"/>
      <c r="N640" s="56"/>
      <c r="O640" s="57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</row>
    <row r="641" spans="1:39" x14ac:dyDescent="0.4">
      <c r="A641" s="56"/>
      <c r="B641" s="59"/>
      <c r="C641" s="56"/>
      <c r="D641" s="56"/>
      <c r="E641" s="56"/>
      <c r="F641" s="57"/>
      <c r="G641" s="57"/>
      <c r="H641" s="57"/>
      <c r="I641" s="56"/>
      <c r="J641" s="56"/>
      <c r="K641" s="56"/>
      <c r="L641" s="56"/>
      <c r="M641" s="56"/>
      <c r="N641" s="56"/>
      <c r="O641" s="57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</row>
    <row r="642" spans="1:39" x14ac:dyDescent="0.4">
      <c r="A642" s="56"/>
      <c r="B642" s="59"/>
      <c r="C642" s="56"/>
      <c r="D642" s="56"/>
      <c r="E642" s="56"/>
      <c r="F642" s="57"/>
      <c r="G642" s="57"/>
      <c r="H642" s="57"/>
      <c r="I642" s="56"/>
      <c r="J642" s="56"/>
      <c r="K642" s="56"/>
      <c r="L642" s="56"/>
      <c r="M642" s="56"/>
      <c r="N642" s="56"/>
      <c r="O642" s="57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</row>
    <row r="643" spans="1:39" x14ac:dyDescent="0.4">
      <c r="A643" s="56"/>
      <c r="B643" s="59"/>
      <c r="C643" s="56"/>
      <c r="D643" s="56"/>
      <c r="E643" s="56"/>
      <c r="F643" s="57"/>
      <c r="G643" s="57"/>
      <c r="H643" s="57"/>
      <c r="I643" s="56"/>
      <c r="J643" s="56"/>
      <c r="K643" s="56"/>
      <c r="L643" s="56"/>
      <c r="M643" s="56"/>
      <c r="N643" s="56"/>
      <c r="O643" s="57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</row>
    <row r="644" spans="1:39" x14ac:dyDescent="0.4">
      <c r="A644" s="56"/>
      <c r="B644" s="59"/>
      <c r="C644" s="56"/>
      <c r="D644" s="56"/>
      <c r="E644" s="56"/>
      <c r="F644" s="57"/>
      <c r="G644" s="57"/>
      <c r="H644" s="57"/>
      <c r="I644" s="56"/>
      <c r="J644" s="56"/>
      <c r="K644" s="56"/>
      <c r="L644" s="56"/>
      <c r="M644" s="56"/>
      <c r="N644" s="56"/>
      <c r="O644" s="57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</row>
    <row r="645" spans="1:39" x14ac:dyDescent="0.4">
      <c r="A645" s="56"/>
      <c r="B645" s="59"/>
      <c r="C645" s="56"/>
      <c r="D645" s="56"/>
      <c r="E645" s="56"/>
      <c r="F645" s="57"/>
      <c r="G645" s="57"/>
      <c r="H645" s="57"/>
      <c r="I645" s="56"/>
      <c r="J645" s="56"/>
      <c r="K645" s="56"/>
      <c r="L645" s="56"/>
      <c r="M645" s="56"/>
      <c r="N645" s="56"/>
      <c r="O645" s="57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</row>
    <row r="646" spans="1:39" x14ac:dyDescent="0.4">
      <c r="A646" s="56"/>
      <c r="B646" s="59"/>
      <c r="C646" s="56"/>
      <c r="D646" s="56"/>
      <c r="E646" s="56"/>
      <c r="F646" s="57"/>
      <c r="G646" s="57"/>
      <c r="H646" s="57"/>
      <c r="I646" s="56"/>
      <c r="J646" s="56"/>
      <c r="K646" s="56"/>
      <c r="L646" s="56"/>
      <c r="M646" s="56"/>
      <c r="N646" s="56"/>
      <c r="O646" s="57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</row>
    <row r="647" spans="1:39" x14ac:dyDescent="0.4">
      <c r="A647" s="56"/>
      <c r="B647" s="59"/>
      <c r="C647" s="56"/>
      <c r="D647" s="56"/>
      <c r="E647" s="56"/>
      <c r="F647" s="57"/>
      <c r="G647" s="57"/>
      <c r="H647" s="57"/>
      <c r="I647" s="56"/>
      <c r="J647" s="56"/>
      <c r="K647" s="56"/>
      <c r="L647" s="56"/>
      <c r="M647" s="56"/>
      <c r="N647" s="56"/>
      <c r="O647" s="57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</row>
    <row r="648" spans="1:39" x14ac:dyDescent="0.4">
      <c r="A648" s="56"/>
      <c r="B648" s="59"/>
      <c r="C648" s="56"/>
      <c r="D648" s="56"/>
      <c r="E648" s="56"/>
      <c r="F648" s="57"/>
      <c r="G648" s="57"/>
      <c r="H648" s="57"/>
      <c r="I648" s="56"/>
      <c r="J648" s="56"/>
      <c r="K648" s="56"/>
      <c r="L648" s="56"/>
      <c r="M648" s="56"/>
      <c r="N648" s="56"/>
      <c r="O648" s="57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</row>
    <row r="649" spans="1:39" x14ac:dyDescent="0.4">
      <c r="A649" s="56"/>
      <c r="B649" s="59"/>
      <c r="C649" s="56"/>
      <c r="D649" s="56"/>
      <c r="E649" s="56"/>
      <c r="F649" s="57"/>
      <c r="G649" s="57"/>
      <c r="H649" s="57"/>
      <c r="I649" s="56"/>
      <c r="J649" s="56"/>
      <c r="K649" s="56"/>
      <c r="L649" s="56"/>
      <c r="M649" s="56"/>
      <c r="N649" s="56"/>
      <c r="O649" s="57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</row>
    <row r="650" spans="1:39" x14ac:dyDescent="0.4">
      <c r="A650" s="56"/>
      <c r="B650" s="59"/>
      <c r="C650" s="56"/>
      <c r="D650" s="56"/>
      <c r="E650" s="56"/>
      <c r="F650" s="57"/>
      <c r="G650" s="57"/>
      <c r="H650" s="57"/>
      <c r="I650" s="56"/>
      <c r="J650" s="56"/>
      <c r="K650" s="56"/>
      <c r="L650" s="56"/>
      <c r="M650" s="56"/>
      <c r="N650" s="56"/>
      <c r="O650" s="57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</row>
    <row r="651" spans="1:39" x14ac:dyDescent="0.4">
      <c r="A651" s="56"/>
      <c r="B651" s="59"/>
      <c r="C651" s="56"/>
      <c r="D651" s="56"/>
      <c r="E651" s="56"/>
      <c r="F651" s="57"/>
      <c r="G651" s="57"/>
      <c r="H651" s="57"/>
      <c r="I651" s="56"/>
      <c r="J651" s="56"/>
      <c r="K651" s="56"/>
      <c r="L651" s="56"/>
      <c r="M651" s="56"/>
      <c r="N651" s="56"/>
      <c r="O651" s="57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</row>
    <row r="652" spans="1:39" x14ac:dyDescent="0.4">
      <c r="A652" s="56"/>
      <c r="B652" s="59"/>
      <c r="C652" s="56"/>
      <c r="D652" s="56"/>
      <c r="E652" s="56"/>
      <c r="F652" s="57"/>
      <c r="G652" s="57"/>
      <c r="H652" s="57"/>
      <c r="I652" s="56"/>
      <c r="J652" s="56"/>
      <c r="K652" s="56"/>
      <c r="L652" s="56"/>
      <c r="M652" s="56"/>
      <c r="N652" s="56"/>
      <c r="O652" s="57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</row>
    <row r="653" spans="1:39" x14ac:dyDescent="0.4">
      <c r="A653" s="56"/>
      <c r="B653" s="59"/>
      <c r="C653" s="56"/>
      <c r="D653" s="56"/>
      <c r="E653" s="56"/>
      <c r="F653" s="57"/>
      <c r="G653" s="57"/>
      <c r="H653" s="57"/>
      <c r="I653" s="56"/>
      <c r="J653" s="56"/>
      <c r="K653" s="56"/>
      <c r="L653" s="56"/>
      <c r="M653" s="56"/>
      <c r="N653" s="56"/>
      <c r="O653" s="57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</row>
    <row r="654" spans="1:39" x14ac:dyDescent="0.4">
      <c r="A654" s="56"/>
      <c r="B654" s="59"/>
      <c r="C654" s="56"/>
      <c r="D654" s="56"/>
      <c r="E654" s="56"/>
      <c r="F654" s="57"/>
      <c r="G654" s="57"/>
      <c r="H654" s="57"/>
      <c r="I654" s="56"/>
      <c r="J654" s="56"/>
      <c r="K654" s="56"/>
      <c r="L654" s="56"/>
      <c r="M654" s="56"/>
      <c r="N654" s="56"/>
      <c r="O654" s="57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</row>
    <row r="655" spans="1:39" x14ac:dyDescent="0.4">
      <c r="A655" s="56"/>
      <c r="B655" s="59"/>
      <c r="C655" s="56"/>
      <c r="D655" s="56"/>
      <c r="E655" s="56"/>
      <c r="F655" s="57"/>
      <c r="G655" s="57"/>
      <c r="H655" s="57"/>
      <c r="I655" s="56"/>
      <c r="J655" s="56"/>
      <c r="K655" s="56"/>
      <c r="L655" s="56"/>
      <c r="M655" s="56"/>
      <c r="N655" s="56"/>
      <c r="O655" s="57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</row>
    <row r="656" spans="1:39" x14ac:dyDescent="0.4">
      <c r="A656" s="56"/>
      <c r="B656" s="59"/>
      <c r="C656" s="56"/>
      <c r="D656" s="56"/>
      <c r="E656" s="56"/>
      <c r="F656" s="57"/>
      <c r="G656" s="57"/>
      <c r="H656" s="57"/>
      <c r="I656" s="56"/>
      <c r="J656" s="56"/>
      <c r="K656" s="56"/>
      <c r="L656" s="56"/>
      <c r="M656" s="56"/>
      <c r="N656" s="56"/>
      <c r="O656" s="57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</row>
    <row r="657" spans="1:39" x14ac:dyDescent="0.4">
      <c r="A657" s="56"/>
      <c r="B657" s="59"/>
      <c r="C657" s="56"/>
      <c r="D657" s="56"/>
      <c r="E657" s="56"/>
      <c r="F657" s="57"/>
      <c r="G657" s="57"/>
      <c r="H657" s="57"/>
      <c r="I657" s="56"/>
      <c r="J657" s="56"/>
      <c r="K657" s="56"/>
      <c r="L657" s="56"/>
      <c r="M657" s="56"/>
      <c r="N657" s="56"/>
      <c r="O657" s="57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</row>
    <row r="658" spans="1:39" x14ac:dyDescent="0.4">
      <c r="A658" s="56"/>
      <c r="B658" s="59"/>
      <c r="C658" s="56"/>
      <c r="D658" s="56"/>
      <c r="E658" s="56"/>
      <c r="F658" s="57"/>
      <c r="G658" s="57"/>
      <c r="H658" s="57"/>
      <c r="I658" s="56"/>
      <c r="J658" s="56"/>
      <c r="K658" s="56"/>
      <c r="L658" s="56"/>
      <c r="M658" s="56"/>
      <c r="N658" s="56"/>
      <c r="O658" s="57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</row>
    <row r="659" spans="1:39" x14ac:dyDescent="0.4">
      <c r="A659" s="56"/>
      <c r="B659" s="59"/>
      <c r="C659" s="56"/>
      <c r="D659" s="56"/>
      <c r="E659" s="56"/>
      <c r="F659" s="57"/>
      <c r="G659" s="57"/>
      <c r="H659" s="57"/>
      <c r="I659" s="56"/>
      <c r="J659" s="56"/>
      <c r="K659" s="56"/>
      <c r="L659" s="56"/>
      <c r="M659" s="56"/>
      <c r="N659" s="56"/>
      <c r="O659" s="57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</row>
    <row r="660" spans="1:39" x14ac:dyDescent="0.4">
      <c r="A660" s="56"/>
      <c r="B660" s="59"/>
      <c r="C660" s="56"/>
      <c r="D660" s="56"/>
      <c r="E660" s="56"/>
      <c r="F660" s="57"/>
      <c r="G660" s="57"/>
      <c r="H660" s="57"/>
      <c r="I660" s="56"/>
      <c r="J660" s="56"/>
      <c r="K660" s="56"/>
      <c r="L660" s="56"/>
      <c r="M660" s="56"/>
      <c r="N660" s="56"/>
      <c r="O660" s="57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</row>
    <row r="661" spans="1:39" x14ac:dyDescent="0.4">
      <c r="A661" s="56"/>
      <c r="B661" s="59"/>
      <c r="C661" s="56"/>
      <c r="D661" s="56"/>
      <c r="E661" s="56"/>
      <c r="F661" s="57"/>
      <c r="G661" s="57"/>
      <c r="H661" s="57"/>
      <c r="I661" s="56"/>
      <c r="J661" s="56"/>
      <c r="K661" s="56"/>
      <c r="L661" s="56"/>
      <c r="M661" s="56"/>
      <c r="N661" s="56"/>
      <c r="O661" s="57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</row>
    <row r="662" spans="1:39" x14ac:dyDescent="0.4">
      <c r="A662" s="56"/>
      <c r="B662" s="59"/>
      <c r="C662" s="56"/>
      <c r="D662" s="56"/>
      <c r="E662" s="56"/>
      <c r="F662" s="57"/>
      <c r="G662" s="57"/>
      <c r="H662" s="57"/>
      <c r="I662" s="56"/>
      <c r="J662" s="56"/>
      <c r="K662" s="56"/>
      <c r="L662" s="56"/>
      <c r="M662" s="56"/>
      <c r="N662" s="56"/>
      <c r="O662" s="57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</row>
    <row r="663" spans="1:39" x14ac:dyDescent="0.4">
      <c r="A663" s="56"/>
      <c r="B663" s="59"/>
      <c r="C663" s="56"/>
      <c r="D663" s="56"/>
      <c r="E663" s="56"/>
      <c r="F663" s="57"/>
      <c r="G663" s="57"/>
      <c r="H663" s="57"/>
      <c r="I663" s="56"/>
      <c r="J663" s="56"/>
      <c r="K663" s="56"/>
      <c r="L663" s="56"/>
      <c r="M663" s="56"/>
      <c r="N663" s="56"/>
      <c r="O663" s="57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</row>
    <row r="664" spans="1:39" x14ac:dyDescent="0.4">
      <c r="A664" s="56"/>
      <c r="B664" s="59"/>
      <c r="C664" s="56"/>
      <c r="D664" s="56"/>
      <c r="E664" s="56"/>
      <c r="F664" s="57"/>
      <c r="G664" s="57"/>
      <c r="H664" s="57"/>
      <c r="I664" s="56"/>
      <c r="J664" s="56"/>
      <c r="K664" s="56"/>
      <c r="L664" s="56"/>
      <c r="M664" s="56"/>
      <c r="N664" s="56"/>
      <c r="O664" s="57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</row>
    <row r="665" spans="1:39" x14ac:dyDescent="0.4">
      <c r="A665" s="56"/>
      <c r="B665" s="59"/>
      <c r="C665" s="56"/>
      <c r="D665" s="56"/>
      <c r="E665" s="56"/>
      <c r="F665" s="57"/>
      <c r="G665" s="57"/>
      <c r="H665" s="57"/>
      <c r="I665" s="56"/>
      <c r="J665" s="56"/>
      <c r="K665" s="56"/>
      <c r="L665" s="56"/>
      <c r="M665" s="56"/>
      <c r="N665" s="56"/>
      <c r="O665" s="57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</row>
    <row r="666" spans="1:39" x14ac:dyDescent="0.4">
      <c r="A666" s="56"/>
      <c r="B666" s="59"/>
      <c r="C666" s="56"/>
      <c r="D666" s="56"/>
      <c r="E666" s="56"/>
      <c r="F666" s="57"/>
      <c r="G666" s="57"/>
      <c r="H666" s="57"/>
      <c r="I666" s="56"/>
      <c r="J666" s="56"/>
      <c r="K666" s="56"/>
      <c r="L666" s="56"/>
      <c r="M666" s="56"/>
      <c r="N666" s="56"/>
      <c r="O666" s="57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</row>
    <row r="667" spans="1:39" x14ac:dyDescent="0.4">
      <c r="A667" s="56"/>
      <c r="B667" s="59"/>
      <c r="C667" s="56"/>
      <c r="D667" s="56"/>
      <c r="E667" s="56"/>
      <c r="F667" s="57"/>
      <c r="G667" s="57"/>
      <c r="H667" s="57"/>
      <c r="I667" s="56"/>
      <c r="J667" s="56"/>
      <c r="K667" s="56"/>
      <c r="L667" s="56"/>
      <c r="M667" s="56"/>
      <c r="N667" s="56"/>
      <c r="O667" s="57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</row>
    <row r="668" spans="1:39" x14ac:dyDescent="0.4">
      <c r="A668" s="56"/>
      <c r="B668" s="59"/>
      <c r="C668" s="56"/>
      <c r="D668" s="56"/>
      <c r="E668" s="56"/>
      <c r="F668" s="57"/>
      <c r="G668" s="57"/>
      <c r="H668" s="57"/>
      <c r="I668" s="56"/>
      <c r="J668" s="56"/>
      <c r="K668" s="56"/>
      <c r="L668" s="56"/>
      <c r="M668" s="56"/>
      <c r="N668" s="56"/>
      <c r="O668" s="57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</row>
    <row r="669" spans="1:39" x14ac:dyDescent="0.4">
      <c r="A669" s="56"/>
      <c r="B669" s="59"/>
      <c r="C669" s="56"/>
      <c r="D669" s="56"/>
      <c r="E669" s="56"/>
      <c r="F669" s="57"/>
      <c r="G669" s="57"/>
      <c r="H669" s="57"/>
      <c r="I669" s="56"/>
      <c r="J669" s="56"/>
      <c r="K669" s="56"/>
      <c r="L669" s="56"/>
      <c r="M669" s="56"/>
      <c r="N669" s="56"/>
      <c r="O669" s="57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</row>
    <row r="670" spans="1:39" x14ac:dyDescent="0.4">
      <c r="A670" s="56"/>
      <c r="B670" s="59"/>
      <c r="C670" s="56"/>
      <c r="D670" s="56"/>
      <c r="E670" s="56"/>
      <c r="F670" s="57"/>
      <c r="G670" s="57"/>
      <c r="H670" s="57"/>
      <c r="I670" s="56"/>
      <c r="J670" s="56"/>
      <c r="K670" s="56"/>
      <c r="L670" s="56"/>
      <c r="M670" s="56"/>
      <c r="N670" s="56"/>
      <c r="O670" s="57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</row>
    <row r="671" spans="1:39" x14ac:dyDescent="0.4">
      <c r="A671" s="56"/>
      <c r="B671" s="59"/>
      <c r="C671" s="56"/>
      <c r="D671" s="56"/>
      <c r="E671" s="56"/>
      <c r="F671" s="57"/>
      <c r="G671" s="57"/>
      <c r="H671" s="57"/>
      <c r="I671" s="56"/>
      <c r="J671" s="56"/>
      <c r="K671" s="56"/>
      <c r="L671" s="56"/>
      <c r="M671" s="56"/>
      <c r="N671" s="56"/>
      <c r="O671" s="57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</row>
    <row r="672" spans="1:39" x14ac:dyDescent="0.4">
      <c r="A672" s="56"/>
      <c r="B672" s="59"/>
      <c r="C672" s="56"/>
      <c r="D672" s="56"/>
      <c r="E672" s="56"/>
      <c r="F672" s="57"/>
      <c r="G672" s="57"/>
      <c r="H672" s="57"/>
      <c r="I672" s="56"/>
      <c r="J672" s="56"/>
      <c r="K672" s="56"/>
      <c r="L672" s="56"/>
      <c r="M672" s="56"/>
      <c r="N672" s="56"/>
      <c r="O672" s="57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</row>
    <row r="673" spans="1:39" x14ac:dyDescent="0.4">
      <c r="A673" s="56"/>
      <c r="B673" s="59"/>
      <c r="C673" s="56"/>
      <c r="D673" s="56"/>
      <c r="E673" s="56"/>
      <c r="F673" s="57"/>
      <c r="G673" s="57"/>
      <c r="H673" s="57"/>
      <c r="I673" s="56"/>
      <c r="J673" s="56"/>
      <c r="K673" s="56"/>
      <c r="L673" s="56"/>
      <c r="M673" s="56"/>
      <c r="N673" s="56"/>
      <c r="O673" s="57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</row>
    <row r="674" spans="1:39" x14ac:dyDescent="0.4">
      <c r="A674" s="56"/>
      <c r="B674" s="59"/>
      <c r="C674" s="56"/>
      <c r="D674" s="56"/>
      <c r="E674" s="56"/>
      <c r="F674" s="57"/>
      <c r="G674" s="57"/>
      <c r="H674" s="57"/>
      <c r="I674" s="56"/>
      <c r="J674" s="56"/>
      <c r="K674" s="56"/>
      <c r="L674" s="56"/>
      <c r="M674" s="56"/>
      <c r="N674" s="56"/>
      <c r="O674" s="57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</row>
    <row r="675" spans="1:39" x14ac:dyDescent="0.4">
      <c r="A675" s="56"/>
      <c r="B675" s="59"/>
      <c r="C675" s="56"/>
      <c r="D675" s="56"/>
      <c r="E675" s="56"/>
      <c r="F675" s="57"/>
      <c r="G675" s="57"/>
      <c r="H675" s="57"/>
      <c r="I675" s="56"/>
      <c r="J675" s="56"/>
      <c r="K675" s="56"/>
      <c r="L675" s="56"/>
      <c r="M675" s="56"/>
      <c r="N675" s="56"/>
      <c r="O675" s="57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</row>
    <row r="676" spans="1:39" x14ac:dyDescent="0.4">
      <c r="A676" s="56"/>
      <c r="B676" s="59"/>
      <c r="C676" s="56"/>
      <c r="D676" s="56"/>
      <c r="E676" s="56"/>
      <c r="F676" s="57"/>
      <c r="G676" s="57"/>
      <c r="H676" s="57"/>
      <c r="I676" s="56"/>
      <c r="J676" s="56"/>
      <c r="K676" s="56"/>
      <c r="L676" s="56"/>
      <c r="M676" s="56"/>
      <c r="N676" s="56"/>
      <c r="O676" s="57"/>
      <c r="P676" s="56"/>
      <c r="Q676" s="56"/>
      <c r="R676" s="56"/>
      <c r="S676" s="56"/>
      <c r="T676" s="56"/>
      <c r="U676" s="56"/>
      <c r="V676" s="56"/>
      <c r="W676" s="56"/>
      <c r="X676" s="56"/>
      <c r="Y676" s="57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</row>
    <row r="677" spans="1:39" x14ac:dyDescent="0.4">
      <c r="A677" s="56"/>
      <c r="B677" s="59"/>
      <c r="C677" s="56"/>
      <c r="D677" s="56"/>
      <c r="E677" s="56"/>
      <c r="F677" s="57"/>
      <c r="G677" s="57"/>
      <c r="H677" s="57"/>
      <c r="I677" s="56"/>
      <c r="J677" s="56"/>
      <c r="K677" s="56"/>
      <c r="L677" s="56"/>
      <c r="M677" s="56"/>
      <c r="N677" s="56"/>
      <c r="O677" s="57"/>
      <c r="P677" s="56"/>
      <c r="Q677" s="56"/>
      <c r="R677" s="56"/>
      <c r="S677" s="56"/>
      <c r="T677" s="56"/>
      <c r="U677" s="56"/>
      <c r="V677" s="56"/>
      <c r="W677" s="56"/>
      <c r="X677" s="56"/>
      <c r="Y677" s="57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</row>
    <row r="678" spans="1:39" x14ac:dyDescent="0.4">
      <c r="A678" s="56"/>
      <c r="B678" s="59"/>
      <c r="C678" s="56"/>
      <c r="D678" s="56"/>
      <c r="E678" s="56"/>
      <c r="F678" s="57"/>
      <c r="G678" s="57"/>
      <c r="H678" s="57"/>
      <c r="I678" s="56"/>
      <c r="J678" s="56"/>
      <c r="K678" s="56"/>
      <c r="L678" s="56"/>
      <c r="M678" s="56"/>
      <c r="N678" s="56"/>
      <c r="O678" s="57"/>
      <c r="P678" s="56"/>
      <c r="Q678" s="56"/>
      <c r="R678" s="56"/>
      <c r="S678" s="56"/>
      <c r="T678" s="56"/>
      <c r="U678" s="56"/>
      <c r="V678" s="56"/>
      <c r="W678" s="56"/>
      <c r="X678" s="56"/>
      <c r="Y678" s="57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</row>
    <row r="679" spans="1:39" x14ac:dyDescent="0.4">
      <c r="A679" s="56"/>
      <c r="B679" s="59"/>
      <c r="C679" s="56"/>
      <c r="D679" s="56"/>
      <c r="E679" s="56"/>
      <c r="F679" s="57"/>
      <c r="G679" s="57"/>
      <c r="H679" s="57"/>
      <c r="I679" s="56"/>
      <c r="J679" s="56"/>
      <c r="K679" s="56"/>
      <c r="L679" s="56"/>
      <c r="M679" s="56"/>
      <c r="N679" s="56"/>
      <c r="O679" s="57"/>
      <c r="P679" s="56"/>
      <c r="Q679" s="56"/>
      <c r="R679" s="56"/>
      <c r="S679" s="56"/>
      <c r="T679" s="56"/>
      <c r="U679" s="56"/>
      <c r="V679" s="56"/>
      <c r="W679" s="56"/>
      <c r="X679" s="56"/>
      <c r="Y679" s="57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</row>
    <row r="680" spans="1:39" x14ac:dyDescent="0.4">
      <c r="A680" s="56"/>
      <c r="B680" s="59"/>
      <c r="C680" s="56"/>
      <c r="D680" s="56"/>
      <c r="E680" s="56"/>
      <c r="F680" s="57"/>
      <c r="G680" s="57"/>
      <c r="H680" s="57"/>
      <c r="I680" s="56"/>
      <c r="J680" s="56"/>
      <c r="K680" s="56"/>
      <c r="L680" s="56"/>
      <c r="M680" s="56"/>
      <c r="N680" s="56"/>
      <c r="O680" s="57"/>
      <c r="P680" s="56"/>
      <c r="Q680" s="56"/>
      <c r="R680" s="56"/>
      <c r="S680" s="56"/>
      <c r="T680" s="56"/>
      <c r="U680" s="56"/>
      <c r="V680" s="56"/>
      <c r="W680" s="56"/>
      <c r="X680" s="56"/>
      <c r="Y680" s="57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</row>
    <row r="681" spans="1:39" x14ac:dyDescent="0.4">
      <c r="A681" s="56"/>
      <c r="B681" s="59"/>
      <c r="C681" s="56"/>
      <c r="D681" s="56"/>
      <c r="E681" s="56"/>
      <c r="F681" s="57"/>
      <c r="G681" s="57"/>
      <c r="H681" s="57"/>
      <c r="I681" s="56"/>
      <c r="J681" s="56"/>
      <c r="K681" s="56"/>
      <c r="L681" s="56"/>
      <c r="M681" s="56"/>
      <c r="N681" s="56"/>
      <c r="O681" s="57"/>
      <c r="P681" s="56"/>
      <c r="Q681" s="56"/>
      <c r="R681" s="56"/>
      <c r="S681" s="56"/>
      <c r="T681" s="56"/>
      <c r="U681" s="56"/>
      <c r="V681" s="56"/>
      <c r="W681" s="56"/>
      <c r="X681" s="56"/>
      <c r="Y681" s="57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</row>
    <row r="682" spans="1:39" x14ac:dyDescent="0.4">
      <c r="A682" s="56"/>
      <c r="B682" s="59"/>
      <c r="C682" s="56"/>
      <c r="D682" s="56"/>
      <c r="E682" s="56"/>
      <c r="F682" s="57"/>
      <c r="G682" s="57"/>
      <c r="H682" s="57"/>
      <c r="I682" s="56"/>
      <c r="J682" s="56"/>
      <c r="K682" s="56"/>
      <c r="L682" s="56"/>
      <c r="M682" s="56"/>
      <c r="N682" s="56"/>
      <c r="O682" s="57"/>
      <c r="P682" s="56"/>
      <c r="Q682" s="56"/>
      <c r="R682" s="56"/>
      <c r="S682" s="56"/>
      <c r="T682" s="56"/>
      <c r="U682" s="56"/>
      <c r="V682" s="56"/>
      <c r="W682" s="56"/>
      <c r="X682" s="56"/>
      <c r="Y682" s="57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</row>
    <row r="683" spans="1:39" x14ac:dyDescent="0.4">
      <c r="A683" s="56"/>
      <c r="B683" s="59"/>
      <c r="C683" s="56"/>
      <c r="D683" s="56"/>
      <c r="E683" s="56"/>
      <c r="F683" s="57"/>
      <c r="G683" s="57"/>
      <c r="H683" s="57"/>
      <c r="I683" s="56"/>
      <c r="J683" s="56"/>
      <c r="K683" s="56"/>
      <c r="L683" s="56"/>
      <c r="M683" s="56"/>
      <c r="N683" s="56"/>
      <c r="O683" s="57"/>
      <c r="P683" s="56"/>
      <c r="Q683" s="56"/>
      <c r="R683" s="56"/>
      <c r="S683" s="56"/>
      <c r="T683" s="56"/>
      <c r="U683" s="56"/>
      <c r="V683" s="56"/>
      <c r="W683" s="56"/>
      <c r="X683" s="56"/>
      <c r="Y683" s="57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</row>
    <row r="684" spans="1:39" x14ac:dyDescent="0.4">
      <c r="A684" s="56"/>
      <c r="B684" s="59"/>
      <c r="C684" s="56"/>
      <c r="D684" s="56"/>
      <c r="E684" s="56"/>
      <c r="F684" s="57"/>
      <c r="G684" s="57"/>
      <c r="H684" s="57"/>
      <c r="I684" s="56"/>
      <c r="J684" s="56"/>
      <c r="K684" s="56"/>
      <c r="L684" s="56"/>
      <c r="M684" s="56"/>
      <c r="N684" s="56"/>
      <c r="O684" s="57"/>
      <c r="P684" s="56"/>
      <c r="Q684" s="56"/>
      <c r="R684" s="56"/>
      <c r="S684" s="56"/>
      <c r="T684" s="56"/>
      <c r="U684" s="56"/>
      <c r="V684" s="56"/>
      <c r="W684" s="56"/>
      <c r="X684" s="56"/>
      <c r="Y684" s="57"/>
      <c r="Z684" s="56"/>
      <c r="AA684" s="56"/>
      <c r="AB684" s="56"/>
      <c r="AC684" s="56"/>
      <c r="AD684" s="56"/>
      <c r="AE684" s="58"/>
      <c r="AF684" s="56"/>
      <c r="AG684" s="56"/>
      <c r="AH684" s="56"/>
      <c r="AI684" s="56"/>
      <c r="AJ684" s="56"/>
      <c r="AK684" s="56"/>
      <c r="AL684" s="56"/>
      <c r="AM684" s="58"/>
    </row>
    <row r="685" spans="1:39" x14ac:dyDescent="0.4">
      <c r="A685" s="56"/>
      <c r="B685" s="59"/>
      <c r="C685" s="56"/>
      <c r="D685" s="56"/>
      <c r="E685" s="56"/>
      <c r="F685" s="57"/>
      <c r="G685" s="57"/>
      <c r="H685" s="57"/>
      <c r="I685" s="56"/>
      <c r="J685" s="56"/>
      <c r="K685" s="56"/>
      <c r="L685" s="56"/>
      <c r="M685" s="56"/>
      <c r="N685" s="56"/>
      <c r="O685" s="57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</row>
    <row r="686" spans="1:39" x14ac:dyDescent="0.4">
      <c r="A686" s="56"/>
      <c r="B686" s="59"/>
      <c r="C686" s="56"/>
      <c r="D686" s="56"/>
      <c r="E686" s="56"/>
      <c r="F686" s="57"/>
      <c r="G686" s="57"/>
      <c r="H686" s="57"/>
      <c r="I686" s="56"/>
      <c r="J686" s="56"/>
      <c r="K686" s="56"/>
      <c r="L686" s="56"/>
      <c r="M686" s="56"/>
      <c r="N686" s="56"/>
      <c r="O686" s="57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</row>
    <row r="687" spans="1:39" x14ac:dyDescent="0.4">
      <c r="A687" s="56"/>
      <c r="B687" s="59"/>
      <c r="C687" s="56"/>
      <c r="D687" s="56"/>
      <c r="E687" s="56"/>
      <c r="F687" s="57"/>
      <c r="G687" s="57"/>
      <c r="H687" s="57"/>
      <c r="I687" s="56"/>
      <c r="J687" s="56"/>
      <c r="K687" s="56"/>
      <c r="L687" s="56"/>
      <c r="M687" s="56"/>
      <c r="N687" s="56"/>
      <c r="O687" s="57"/>
      <c r="P687" s="56"/>
      <c r="Q687" s="56"/>
      <c r="R687" s="56"/>
      <c r="S687" s="56"/>
      <c r="T687" s="56"/>
      <c r="U687" s="56"/>
      <c r="V687" s="56"/>
      <c r="W687" s="56"/>
      <c r="X687" s="56"/>
      <c r="Y687" s="57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</row>
    <row r="688" spans="1:39" x14ac:dyDescent="0.4">
      <c r="A688" s="56"/>
      <c r="B688" s="59"/>
      <c r="C688" s="56"/>
      <c r="D688" s="56"/>
      <c r="E688" s="56"/>
      <c r="F688" s="57"/>
      <c r="G688" s="57"/>
      <c r="H688" s="57"/>
      <c r="I688" s="56"/>
      <c r="J688" s="56"/>
      <c r="K688" s="56"/>
      <c r="L688" s="56"/>
      <c r="M688" s="56"/>
      <c r="N688" s="56"/>
      <c r="O688" s="57"/>
      <c r="P688" s="56"/>
      <c r="Q688" s="56"/>
      <c r="R688" s="56"/>
      <c r="S688" s="56"/>
      <c r="T688" s="56"/>
      <c r="U688" s="56"/>
      <c r="V688" s="56"/>
      <c r="W688" s="56"/>
      <c r="X688" s="56"/>
      <c r="Y688" s="57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</row>
    <row r="689" spans="1:39" x14ac:dyDescent="0.4">
      <c r="A689" s="56"/>
      <c r="B689" s="59"/>
      <c r="C689" s="56"/>
      <c r="D689" s="56"/>
      <c r="E689" s="56"/>
      <c r="F689" s="57"/>
      <c r="G689" s="57"/>
      <c r="H689" s="57"/>
      <c r="I689" s="56"/>
      <c r="J689" s="56"/>
      <c r="K689" s="56"/>
      <c r="L689" s="56"/>
      <c r="M689" s="56"/>
      <c r="N689" s="56"/>
      <c r="O689" s="57"/>
      <c r="P689" s="56"/>
      <c r="Q689" s="56"/>
      <c r="R689" s="56"/>
      <c r="S689" s="56"/>
      <c r="T689" s="56"/>
      <c r="U689" s="56"/>
      <c r="V689" s="56"/>
      <c r="W689" s="56"/>
      <c r="X689" s="56"/>
      <c r="Y689" s="57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</row>
    <row r="690" spans="1:39" x14ac:dyDescent="0.4">
      <c r="A690" s="56"/>
      <c r="B690" s="59"/>
      <c r="C690" s="56"/>
      <c r="D690" s="56"/>
      <c r="E690" s="56"/>
      <c r="F690" s="57"/>
      <c r="G690" s="57"/>
      <c r="H690" s="57"/>
      <c r="I690" s="56"/>
      <c r="J690" s="56"/>
      <c r="K690" s="56"/>
      <c r="L690" s="56"/>
      <c r="M690" s="56"/>
      <c r="N690" s="56"/>
      <c r="O690" s="57"/>
      <c r="P690" s="56"/>
      <c r="Q690" s="56"/>
      <c r="R690" s="56"/>
      <c r="S690" s="56"/>
      <c r="T690" s="56"/>
      <c r="U690" s="56"/>
      <c r="V690" s="56"/>
      <c r="W690" s="56"/>
      <c r="X690" s="56"/>
      <c r="Y690" s="57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</row>
    <row r="691" spans="1:39" x14ac:dyDescent="0.4">
      <c r="A691" s="56"/>
      <c r="B691" s="59"/>
      <c r="C691" s="56"/>
      <c r="D691" s="56"/>
      <c r="E691" s="56"/>
      <c r="F691" s="57"/>
      <c r="G691" s="57"/>
      <c r="H691" s="57"/>
      <c r="I691" s="56"/>
      <c r="J691" s="56"/>
      <c r="K691" s="56"/>
      <c r="L691" s="56"/>
      <c r="M691" s="56"/>
      <c r="N691" s="56"/>
      <c r="O691" s="57"/>
      <c r="P691" s="56"/>
      <c r="Q691" s="56"/>
      <c r="R691" s="56"/>
      <c r="S691" s="56"/>
      <c r="T691" s="56"/>
      <c r="U691" s="56"/>
      <c r="V691" s="56"/>
      <c r="W691" s="56"/>
      <c r="X691" s="56"/>
      <c r="Y691" s="57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</row>
    <row r="692" spans="1:39" x14ac:dyDescent="0.4">
      <c r="A692" s="56"/>
      <c r="B692" s="59"/>
      <c r="C692" s="56"/>
      <c r="D692" s="56"/>
      <c r="E692" s="56"/>
      <c r="F692" s="57"/>
      <c r="G692" s="57"/>
      <c r="H692" s="57"/>
      <c r="I692" s="56"/>
      <c r="J692" s="56"/>
      <c r="K692" s="56"/>
      <c r="L692" s="56"/>
      <c r="M692" s="56"/>
      <c r="N692" s="56"/>
      <c r="O692" s="57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</row>
    <row r="693" spans="1:39" x14ac:dyDescent="0.4">
      <c r="A693" s="56"/>
      <c r="B693" s="59"/>
      <c r="C693" s="56"/>
      <c r="D693" s="56"/>
      <c r="E693" s="56"/>
      <c r="F693" s="57"/>
      <c r="G693" s="57"/>
      <c r="H693" s="57"/>
      <c r="I693" s="56"/>
      <c r="J693" s="56"/>
      <c r="K693" s="56"/>
      <c r="L693" s="56"/>
      <c r="M693" s="56"/>
      <c r="N693" s="56"/>
      <c r="O693" s="57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</row>
    <row r="694" spans="1:39" x14ac:dyDescent="0.4">
      <c r="A694" s="56"/>
      <c r="B694" s="59"/>
      <c r="C694" s="56"/>
      <c r="D694" s="56"/>
      <c r="E694" s="56"/>
      <c r="F694" s="57"/>
      <c r="G694" s="57"/>
      <c r="H694" s="57"/>
      <c r="I694" s="56"/>
      <c r="J694" s="56"/>
      <c r="K694" s="56"/>
      <c r="L694" s="56"/>
      <c r="M694" s="56"/>
      <c r="N694" s="56"/>
      <c r="O694" s="57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</row>
    <row r="695" spans="1:39" x14ac:dyDescent="0.4">
      <c r="A695" s="56"/>
      <c r="B695" s="59"/>
      <c r="C695" s="56"/>
      <c r="D695" s="56"/>
      <c r="E695" s="56"/>
      <c r="F695" s="57"/>
      <c r="G695" s="57"/>
      <c r="H695" s="57"/>
      <c r="I695" s="56"/>
      <c r="J695" s="56"/>
      <c r="K695" s="56"/>
      <c r="L695" s="56"/>
      <c r="M695" s="56"/>
      <c r="N695" s="56"/>
      <c r="O695" s="57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</row>
    <row r="696" spans="1:39" x14ac:dyDescent="0.4">
      <c r="A696" s="56"/>
      <c r="B696" s="59"/>
      <c r="C696" s="56"/>
      <c r="D696" s="56"/>
      <c r="E696" s="56"/>
      <c r="F696" s="57"/>
      <c r="G696" s="57"/>
      <c r="H696" s="57"/>
      <c r="I696" s="56"/>
      <c r="J696" s="56"/>
      <c r="K696" s="56"/>
      <c r="L696" s="56"/>
      <c r="M696" s="56"/>
      <c r="N696" s="56"/>
      <c r="O696" s="57"/>
      <c r="P696" s="56"/>
      <c r="Q696" s="56"/>
      <c r="R696" s="56"/>
      <c r="S696" s="56"/>
      <c r="T696" s="56"/>
      <c r="U696" s="56"/>
      <c r="V696" s="56"/>
      <c r="W696" s="56"/>
      <c r="X696" s="56"/>
      <c r="Y696" s="57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</row>
    <row r="697" spans="1:39" x14ac:dyDescent="0.4">
      <c r="A697" s="56"/>
      <c r="B697" s="59"/>
      <c r="C697" s="56"/>
      <c r="D697" s="56"/>
      <c r="E697" s="56"/>
      <c r="F697" s="57"/>
      <c r="G697" s="57"/>
      <c r="H697" s="57"/>
      <c r="I697" s="56"/>
      <c r="J697" s="56"/>
      <c r="K697" s="56"/>
      <c r="L697" s="56"/>
      <c r="M697" s="56"/>
      <c r="N697" s="56"/>
      <c r="O697" s="57"/>
      <c r="P697" s="56"/>
      <c r="Q697" s="56"/>
      <c r="R697" s="56"/>
      <c r="S697" s="56"/>
      <c r="T697" s="56"/>
      <c r="U697" s="56"/>
      <c r="V697" s="56"/>
      <c r="W697" s="56"/>
      <c r="X697" s="56"/>
      <c r="Y697" s="57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</row>
    <row r="698" spans="1:39" x14ac:dyDescent="0.4">
      <c r="A698" s="56"/>
      <c r="B698" s="59"/>
      <c r="C698" s="56"/>
      <c r="D698" s="56"/>
      <c r="E698" s="56"/>
      <c r="F698" s="57"/>
      <c r="G698" s="57"/>
      <c r="H698" s="57"/>
      <c r="I698" s="56"/>
      <c r="J698" s="56"/>
      <c r="K698" s="56"/>
      <c r="L698" s="56"/>
      <c r="M698" s="56"/>
      <c r="N698" s="56"/>
      <c r="O698" s="57"/>
      <c r="P698" s="56"/>
      <c r="Q698" s="56"/>
      <c r="R698" s="56"/>
      <c r="S698" s="56"/>
      <c r="T698" s="56"/>
      <c r="U698" s="56"/>
      <c r="V698" s="56"/>
      <c r="W698" s="56"/>
      <c r="X698" s="56"/>
      <c r="Y698" s="57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</row>
    <row r="699" spans="1:39" x14ac:dyDescent="0.4">
      <c r="A699" s="56"/>
      <c r="B699" s="59"/>
      <c r="C699" s="56"/>
      <c r="D699" s="56"/>
      <c r="E699" s="56"/>
      <c r="F699" s="57"/>
      <c r="G699" s="57"/>
      <c r="H699" s="57"/>
      <c r="I699" s="56"/>
      <c r="J699" s="56"/>
      <c r="K699" s="56"/>
      <c r="L699" s="56"/>
      <c r="M699" s="56"/>
      <c r="N699" s="56"/>
      <c r="O699" s="57"/>
      <c r="P699" s="56"/>
      <c r="Q699" s="56"/>
      <c r="R699" s="56"/>
      <c r="S699" s="56"/>
      <c r="T699" s="56"/>
      <c r="U699" s="56"/>
      <c r="V699" s="56"/>
      <c r="W699" s="56"/>
      <c r="X699" s="56"/>
      <c r="Y699" s="57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</row>
    <row r="700" spans="1:39" x14ac:dyDescent="0.4">
      <c r="A700" s="56"/>
      <c r="B700" s="59"/>
      <c r="C700" s="56"/>
      <c r="D700" s="56"/>
      <c r="E700" s="56"/>
      <c r="F700" s="57"/>
      <c r="G700" s="57"/>
      <c r="H700" s="57"/>
      <c r="I700" s="56"/>
      <c r="J700" s="56"/>
      <c r="K700" s="56"/>
      <c r="L700" s="56"/>
      <c r="M700" s="56"/>
      <c r="N700" s="56"/>
      <c r="O700" s="57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</row>
    <row r="701" spans="1:39" x14ac:dyDescent="0.4">
      <c r="A701" s="56"/>
      <c r="B701" s="59"/>
      <c r="C701" s="56"/>
      <c r="D701" s="56"/>
      <c r="E701" s="56"/>
      <c r="F701" s="57"/>
      <c r="G701" s="57"/>
      <c r="H701" s="57"/>
      <c r="I701" s="56"/>
      <c r="J701" s="56"/>
      <c r="K701" s="56"/>
      <c r="L701" s="56"/>
      <c r="M701" s="56"/>
      <c r="N701" s="56"/>
      <c r="O701" s="57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</row>
    <row r="702" spans="1:39" x14ac:dyDescent="0.4">
      <c r="A702" s="56"/>
      <c r="B702" s="59"/>
      <c r="C702" s="56"/>
      <c r="D702" s="56"/>
      <c r="E702" s="56"/>
      <c r="F702" s="57"/>
      <c r="G702" s="57"/>
      <c r="H702" s="57"/>
      <c r="I702" s="56"/>
      <c r="J702" s="56"/>
      <c r="K702" s="56"/>
      <c r="L702" s="56"/>
      <c r="M702" s="56"/>
      <c r="N702" s="56"/>
      <c r="O702" s="57"/>
      <c r="P702" s="56"/>
      <c r="Q702" s="56"/>
      <c r="R702" s="56"/>
      <c r="S702" s="56"/>
      <c r="T702" s="56"/>
      <c r="U702" s="56"/>
      <c r="V702" s="56"/>
      <c r="W702" s="56"/>
      <c r="X702" s="56"/>
      <c r="Y702" s="57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</row>
    <row r="703" spans="1:39" x14ac:dyDescent="0.4">
      <c r="A703" s="56"/>
      <c r="B703" s="59"/>
      <c r="C703" s="56"/>
      <c r="D703" s="56"/>
      <c r="E703" s="56"/>
      <c r="F703" s="57"/>
      <c r="G703" s="57"/>
      <c r="H703" s="57"/>
      <c r="I703" s="56"/>
      <c r="J703" s="56"/>
      <c r="K703" s="56"/>
      <c r="L703" s="56"/>
      <c r="M703" s="56"/>
      <c r="N703" s="56"/>
      <c r="O703" s="57"/>
      <c r="P703" s="56"/>
      <c r="Q703" s="56"/>
      <c r="R703" s="56"/>
      <c r="S703" s="56"/>
      <c r="T703" s="56"/>
      <c r="U703" s="56"/>
      <c r="V703" s="56"/>
      <c r="W703" s="56"/>
      <c r="X703" s="56"/>
      <c r="Y703" s="57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</row>
    <row r="704" spans="1:39" x14ac:dyDescent="0.4">
      <c r="A704" s="56"/>
      <c r="B704" s="59"/>
      <c r="C704" s="56"/>
      <c r="D704" s="56"/>
      <c r="E704" s="56"/>
      <c r="F704" s="57"/>
      <c r="G704" s="57"/>
      <c r="H704" s="57"/>
      <c r="I704" s="56"/>
      <c r="J704" s="56"/>
      <c r="K704" s="56"/>
      <c r="L704" s="56"/>
      <c r="M704" s="56"/>
      <c r="N704" s="56"/>
      <c r="O704" s="57"/>
      <c r="P704" s="56"/>
      <c r="Q704" s="56"/>
      <c r="R704" s="56"/>
      <c r="S704" s="56"/>
      <c r="T704" s="56"/>
      <c r="U704" s="56"/>
      <c r="V704" s="56"/>
      <c r="W704" s="56"/>
      <c r="X704" s="56"/>
      <c r="Y704" s="57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</row>
    <row r="705" spans="1:39" x14ac:dyDescent="0.4">
      <c r="A705" s="56"/>
      <c r="B705" s="59"/>
      <c r="C705" s="56"/>
      <c r="D705" s="56"/>
      <c r="E705" s="56"/>
      <c r="F705" s="57"/>
      <c r="G705" s="57"/>
      <c r="H705" s="57"/>
      <c r="I705" s="56"/>
      <c r="J705" s="56"/>
      <c r="K705" s="56"/>
      <c r="L705" s="56"/>
      <c r="M705" s="56"/>
      <c r="N705" s="56"/>
      <c r="O705" s="57"/>
      <c r="P705" s="56"/>
      <c r="Q705" s="56"/>
      <c r="R705" s="56"/>
      <c r="S705" s="56"/>
      <c r="T705" s="56"/>
      <c r="U705" s="56"/>
      <c r="V705" s="56"/>
      <c r="W705" s="56"/>
      <c r="X705" s="56"/>
      <c r="Y705" s="57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</row>
    <row r="706" spans="1:39" x14ac:dyDescent="0.4">
      <c r="A706" s="56"/>
      <c r="B706" s="59"/>
      <c r="C706" s="56"/>
      <c r="D706" s="56"/>
      <c r="E706" s="56"/>
      <c r="F706" s="57"/>
      <c r="G706" s="57"/>
      <c r="H706" s="57"/>
      <c r="I706" s="56"/>
      <c r="J706" s="56"/>
      <c r="K706" s="56"/>
      <c r="L706" s="56"/>
      <c r="M706" s="56"/>
      <c r="N706" s="56"/>
      <c r="O706" s="57"/>
      <c r="P706" s="56"/>
      <c r="Q706" s="56"/>
      <c r="R706" s="56"/>
      <c r="S706" s="56"/>
      <c r="T706" s="56"/>
      <c r="U706" s="56"/>
      <c r="V706" s="56"/>
      <c r="W706" s="56"/>
      <c r="X706" s="56"/>
      <c r="Y706" s="57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</row>
    <row r="707" spans="1:39" x14ac:dyDescent="0.4">
      <c r="A707" s="56"/>
      <c r="B707" s="59"/>
      <c r="C707" s="56"/>
      <c r="D707" s="56"/>
      <c r="E707" s="56"/>
      <c r="F707" s="57"/>
      <c r="G707" s="57"/>
      <c r="H707" s="57"/>
      <c r="I707" s="56"/>
      <c r="J707" s="56"/>
      <c r="K707" s="56"/>
      <c r="L707" s="56"/>
      <c r="M707" s="56"/>
      <c r="N707" s="56"/>
      <c r="O707" s="57"/>
      <c r="P707" s="56"/>
      <c r="Q707" s="56"/>
      <c r="R707" s="56"/>
      <c r="S707" s="56"/>
      <c r="T707" s="56"/>
      <c r="U707" s="56"/>
      <c r="V707" s="56"/>
      <c r="W707" s="56"/>
      <c r="X707" s="56"/>
      <c r="Y707" s="57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</row>
    <row r="708" spans="1:39" x14ac:dyDescent="0.4">
      <c r="A708" s="56"/>
      <c r="B708" s="59"/>
      <c r="C708" s="56"/>
      <c r="D708" s="56"/>
      <c r="E708" s="56"/>
      <c r="F708" s="57"/>
      <c r="G708" s="57"/>
      <c r="H708" s="57"/>
      <c r="I708" s="56"/>
      <c r="J708" s="56"/>
      <c r="K708" s="56"/>
      <c r="L708" s="56"/>
      <c r="M708" s="56"/>
      <c r="N708" s="56"/>
      <c r="O708" s="57"/>
      <c r="P708" s="56"/>
      <c r="Q708" s="56"/>
      <c r="R708" s="56"/>
      <c r="S708" s="56"/>
      <c r="T708" s="56"/>
      <c r="U708" s="56"/>
      <c r="V708" s="56"/>
      <c r="W708" s="56"/>
      <c r="X708" s="56"/>
      <c r="Y708" s="57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</row>
    <row r="709" spans="1:39" x14ac:dyDescent="0.4">
      <c r="A709" s="56"/>
      <c r="B709" s="59"/>
      <c r="C709" s="56"/>
      <c r="D709" s="56"/>
      <c r="E709" s="56"/>
      <c r="F709" s="57"/>
      <c r="G709" s="57"/>
      <c r="H709" s="57"/>
      <c r="I709" s="56"/>
      <c r="J709" s="56"/>
      <c r="K709" s="56"/>
      <c r="L709" s="56"/>
      <c r="M709" s="56"/>
      <c r="N709" s="56"/>
      <c r="O709" s="57"/>
      <c r="P709" s="56"/>
      <c r="Q709" s="56"/>
      <c r="R709" s="56"/>
      <c r="S709" s="56"/>
      <c r="T709" s="56"/>
      <c r="U709" s="56"/>
      <c r="V709" s="56"/>
      <c r="W709" s="56"/>
      <c r="X709" s="56"/>
      <c r="Y709" s="57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</row>
    <row r="710" spans="1:39" x14ac:dyDescent="0.4">
      <c r="A710" s="56"/>
      <c r="B710" s="59"/>
      <c r="C710" s="56"/>
      <c r="D710" s="56"/>
      <c r="E710" s="56"/>
      <c r="F710" s="57"/>
      <c r="G710" s="57"/>
      <c r="H710" s="57"/>
      <c r="I710" s="56"/>
      <c r="J710" s="56"/>
      <c r="K710" s="56"/>
      <c r="L710" s="56"/>
      <c r="M710" s="56"/>
      <c r="N710" s="56"/>
      <c r="O710" s="57"/>
      <c r="P710" s="56"/>
      <c r="Q710" s="56"/>
      <c r="R710" s="56"/>
      <c r="S710" s="56"/>
      <c r="T710" s="56"/>
      <c r="U710" s="57"/>
      <c r="V710" s="56"/>
      <c r="W710" s="56"/>
      <c r="X710" s="56"/>
      <c r="Y710" s="57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</row>
    <row r="711" spans="1:39" x14ac:dyDescent="0.4">
      <c r="A711" s="56"/>
      <c r="B711" s="59"/>
      <c r="C711" s="56"/>
      <c r="D711" s="56"/>
      <c r="E711" s="56"/>
      <c r="F711" s="57"/>
      <c r="G711" s="57"/>
      <c r="H711" s="57"/>
      <c r="I711" s="56"/>
      <c r="J711" s="56"/>
      <c r="K711" s="56"/>
      <c r="L711" s="56"/>
      <c r="M711" s="56"/>
      <c r="N711" s="56"/>
      <c r="O711" s="57"/>
      <c r="P711" s="56"/>
      <c r="Q711" s="56"/>
      <c r="R711" s="56"/>
      <c r="S711" s="56"/>
      <c r="T711" s="56"/>
      <c r="U711" s="56"/>
      <c r="V711" s="56"/>
      <c r="W711" s="56"/>
      <c r="X711" s="56"/>
      <c r="Y711" s="57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</row>
    <row r="712" spans="1:39" x14ac:dyDescent="0.4">
      <c r="A712" s="56"/>
      <c r="B712" s="59"/>
      <c r="C712" s="56"/>
      <c r="D712" s="56"/>
      <c r="E712" s="56"/>
      <c r="F712" s="57"/>
      <c r="G712" s="57"/>
      <c r="H712" s="57"/>
      <c r="I712" s="56"/>
      <c r="J712" s="56"/>
      <c r="K712" s="56"/>
      <c r="L712" s="56"/>
      <c r="M712" s="56"/>
      <c r="N712" s="56"/>
      <c r="O712" s="57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</row>
    <row r="713" spans="1:39" x14ac:dyDescent="0.4">
      <c r="A713" s="56"/>
      <c r="B713" s="59"/>
      <c r="C713" s="56"/>
      <c r="D713" s="56"/>
      <c r="E713" s="56"/>
      <c r="F713" s="57"/>
      <c r="G713" s="57"/>
      <c r="H713" s="57"/>
      <c r="I713" s="56"/>
      <c r="J713" s="56"/>
      <c r="K713" s="56"/>
      <c r="L713" s="56"/>
      <c r="M713" s="56"/>
      <c r="N713" s="57"/>
      <c r="O713" s="57"/>
      <c r="P713" s="56"/>
      <c r="Q713" s="56"/>
      <c r="R713" s="56"/>
      <c r="S713" s="56"/>
      <c r="T713" s="56"/>
      <c r="U713" s="56"/>
      <c r="V713" s="56"/>
      <c r="W713" s="56"/>
      <c r="X713" s="56"/>
      <c r="Y713" s="57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</row>
    <row r="714" spans="1:39" x14ac:dyDescent="0.4">
      <c r="A714" s="56"/>
      <c r="B714" s="59"/>
      <c r="C714" s="56"/>
      <c r="D714" s="56"/>
      <c r="E714" s="56"/>
      <c r="F714" s="57"/>
      <c r="G714" s="57"/>
      <c r="H714" s="57"/>
      <c r="I714" s="56"/>
      <c r="J714" s="56"/>
      <c r="K714" s="56"/>
      <c r="L714" s="57"/>
      <c r="M714" s="56"/>
      <c r="N714" s="56"/>
      <c r="O714" s="57"/>
      <c r="P714" s="56"/>
      <c r="Q714" s="56"/>
      <c r="R714" s="56"/>
      <c r="S714" s="56"/>
      <c r="T714" s="56"/>
      <c r="U714" s="56"/>
      <c r="V714" s="56"/>
      <c r="W714" s="56"/>
      <c r="X714" s="56"/>
      <c r="Y714" s="57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</row>
    <row r="715" spans="1:39" x14ac:dyDescent="0.4">
      <c r="A715" s="56"/>
      <c r="B715" s="59"/>
      <c r="C715" s="56"/>
      <c r="D715" s="56"/>
      <c r="E715" s="56"/>
      <c r="F715" s="57"/>
      <c r="G715" s="57"/>
      <c r="H715" s="57"/>
      <c r="I715" s="56"/>
      <c r="J715" s="56"/>
      <c r="K715" s="56"/>
      <c r="L715" s="56"/>
      <c r="M715" s="56"/>
      <c r="N715" s="57"/>
      <c r="O715" s="57"/>
      <c r="P715" s="56"/>
      <c r="Q715" s="56"/>
      <c r="R715" s="56"/>
      <c r="S715" s="56"/>
      <c r="T715" s="56"/>
      <c r="U715" s="56"/>
      <c r="V715" s="56"/>
      <c r="W715" s="56"/>
      <c r="X715" s="56"/>
      <c r="Y715" s="57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</row>
    <row r="716" spans="1:39" x14ac:dyDescent="0.4">
      <c r="A716" s="56"/>
      <c r="B716" s="59"/>
      <c r="C716" s="56"/>
      <c r="D716" s="56"/>
      <c r="E716" s="56"/>
      <c r="F716" s="57"/>
      <c r="G716" s="57"/>
      <c r="H716" s="57"/>
      <c r="I716" s="56"/>
      <c r="J716" s="57"/>
      <c r="K716" s="56"/>
      <c r="L716" s="56"/>
      <c r="M716" s="56"/>
      <c r="N716" s="56"/>
      <c r="O716" s="57"/>
      <c r="P716" s="56"/>
      <c r="Q716" s="56"/>
      <c r="R716" s="56"/>
      <c r="S716" s="56"/>
      <c r="T716" s="56"/>
      <c r="U716" s="56"/>
      <c r="V716" s="56"/>
      <c r="W716" s="56"/>
      <c r="X716" s="56"/>
      <c r="Y716" s="57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</row>
    <row r="717" spans="1:39" x14ac:dyDescent="0.4">
      <c r="A717" s="56"/>
      <c r="B717" s="59"/>
      <c r="C717" s="56"/>
      <c r="D717" s="56"/>
      <c r="E717" s="56"/>
      <c r="F717" s="57"/>
      <c r="G717" s="57"/>
      <c r="H717" s="57"/>
      <c r="I717" s="56"/>
      <c r="J717" s="56"/>
      <c r="K717" s="56"/>
      <c r="L717" s="57"/>
      <c r="M717" s="56"/>
      <c r="N717" s="56"/>
      <c r="O717" s="57"/>
      <c r="P717" s="56"/>
      <c r="Q717" s="56"/>
      <c r="R717" s="56"/>
      <c r="S717" s="56"/>
      <c r="T717" s="56"/>
      <c r="U717" s="56"/>
      <c r="V717" s="56"/>
      <c r="W717" s="56"/>
      <c r="X717" s="56"/>
      <c r="Y717" s="57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</row>
    <row r="718" spans="1:39" x14ac:dyDescent="0.4">
      <c r="A718" s="56"/>
      <c r="B718" s="59"/>
      <c r="C718" s="56"/>
      <c r="D718" s="56"/>
      <c r="E718" s="56"/>
      <c r="F718" s="57"/>
      <c r="G718" s="57"/>
      <c r="H718" s="57"/>
      <c r="I718" s="56"/>
      <c r="J718" s="56"/>
      <c r="K718" s="56"/>
      <c r="L718" s="56"/>
      <c r="M718" s="56"/>
      <c r="N718" s="56"/>
      <c r="O718" s="57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</row>
    <row r="719" spans="1:39" x14ac:dyDescent="0.4">
      <c r="A719" s="56"/>
      <c r="B719" s="59"/>
      <c r="C719" s="56"/>
      <c r="D719" s="56"/>
      <c r="E719" s="56"/>
      <c r="F719" s="57"/>
      <c r="G719" s="57"/>
      <c r="H719" s="57"/>
      <c r="I719" s="56"/>
      <c r="J719" s="56"/>
      <c r="K719" s="56"/>
      <c r="L719" s="56"/>
      <c r="M719" s="56"/>
      <c r="N719" s="56"/>
      <c r="O719" s="57"/>
      <c r="P719" s="56"/>
      <c r="Q719" s="56"/>
      <c r="R719" s="57"/>
      <c r="S719" s="56"/>
      <c r="T719" s="56"/>
      <c r="U719" s="56"/>
      <c r="V719" s="56"/>
      <c r="W719" s="56"/>
      <c r="X719" s="56"/>
      <c r="Y719" s="57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</row>
    <row r="720" spans="1:39" x14ac:dyDescent="0.4">
      <c r="A720" s="56"/>
      <c r="B720" s="59"/>
      <c r="C720" s="56"/>
      <c r="D720" s="56"/>
      <c r="E720" s="56"/>
      <c r="F720" s="57"/>
      <c r="G720" s="57"/>
      <c r="H720" s="57"/>
      <c r="I720" s="56"/>
      <c r="J720" s="56"/>
      <c r="K720" s="56"/>
      <c r="L720" s="56"/>
      <c r="M720" s="56"/>
      <c r="N720" s="56"/>
      <c r="O720" s="57"/>
      <c r="P720" s="56"/>
      <c r="Q720" s="57"/>
      <c r="R720" s="56"/>
      <c r="S720" s="56"/>
      <c r="T720" s="56"/>
      <c r="U720" s="56"/>
      <c r="V720" s="56"/>
      <c r="W720" s="56"/>
      <c r="X720" s="56"/>
      <c r="Y720" s="57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</row>
    <row r="721" spans="1:39" x14ac:dyDescent="0.4">
      <c r="A721" s="56"/>
      <c r="B721" s="59"/>
      <c r="C721" s="56"/>
      <c r="D721" s="56"/>
      <c r="E721" s="56"/>
      <c r="F721" s="57"/>
      <c r="G721" s="57"/>
      <c r="H721" s="57"/>
      <c r="I721" s="56"/>
      <c r="J721" s="56"/>
      <c r="K721" s="57"/>
      <c r="L721" s="56"/>
      <c r="M721" s="56"/>
      <c r="N721" s="56"/>
      <c r="O721" s="57"/>
      <c r="P721" s="56"/>
      <c r="Q721" s="56"/>
      <c r="R721" s="56"/>
      <c r="S721" s="56"/>
      <c r="T721" s="56"/>
      <c r="U721" s="56"/>
      <c r="V721" s="56"/>
      <c r="W721" s="56"/>
      <c r="X721" s="56"/>
      <c r="Y721" s="57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</row>
    <row r="722" spans="1:39" x14ac:dyDescent="0.4">
      <c r="A722" s="56"/>
      <c r="B722" s="59"/>
      <c r="C722" s="56"/>
      <c r="D722" s="56"/>
      <c r="E722" s="56"/>
      <c r="F722" s="57"/>
      <c r="G722" s="57"/>
      <c r="H722" s="57"/>
      <c r="I722" s="56"/>
      <c r="J722" s="56"/>
      <c r="K722" s="56"/>
      <c r="L722" s="56"/>
      <c r="M722" s="56"/>
      <c r="N722" s="56"/>
      <c r="O722" s="57"/>
      <c r="P722" s="56"/>
      <c r="Q722" s="56"/>
      <c r="R722" s="56"/>
      <c r="S722" s="56"/>
      <c r="T722" s="56"/>
      <c r="U722" s="56"/>
      <c r="V722" s="56"/>
      <c r="W722" s="56"/>
      <c r="X722" s="56"/>
      <c r="Y722" s="57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</row>
    <row r="723" spans="1:39" x14ac:dyDescent="0.4">
      <c r="A723" s="56"/>
      <c r="B723" s="59"/>
      <c r="C723" s="56"/>
      <c r="D723" s="56"/>
      <c r="E723" s="56"/>
      <c r="F723" s="57"/>
      <c r="G723" s="57"/>
      <c r="H723" s="57"/>
      <c r="I723" s="56"/>
      <c r="J723" s="56"/>
      <c r="K723" s="56"/>
      <c r="L723" s="56"/>
      <c r="M723" s="56"/>
      <c r="N723" s="56"/>
      <c r="O723" s="57"/>
      <c r="P723" s="56"/>
      <c r="Q723" s="56"/>
      <c r="R723" s="56"/>
      <c r="S723" s="56"/>
      <c r="T723" s="56"/>
      <c r="U723" s="56"/>
      <c r="V723" s="56"/>
      <c r="W723" s="56"/>
      <c r="X723" s="56"/>
      <c r="Y723" s="57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</row>
    <row r="724" spans="1:39" x14ac:dyDescent="0.4">
      <c r="A724" s="56"/>
      <c r="B724" s="59"/>
      <c r="C724" s="56"/>
      <c r="D724" s="56"/>
      <c r="E724" s="56"/>
      <c r="F724" s="57"/>
      <c r="G724" s="57"/>
      <c r="H724" s="57"/>
      <c r="I724" s="56"/>
      <c r="J724" s="56"/>
      <c r="K724" s="56"/>
      <c r="L724" s="56"/>
      <c r="M724" s="56"/>
      <c r="N724" s="56"/>
      <c r="O724" s="57"/>
      <c r="P724" s="56"/>
      <c r="Q724" s="56"/>
      <c r="R724" s="56"/>
      <c r="S724" s="56"/>
      <c r="T724" s="56"/>
      <c r="U724" s="56"/>
      <c r="V724" s="56"/>
      <c r="W724" s="56"/>
      <c r="X724" s="56"/>
      <c r="Y724" s="57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</row>
    <row r="725" spans="1:39" x14ac:dyDescent="0.4">
      <c r="A725" s="56"/>
      <c r="B725" s="59"/>
      <c r="C725" s="56"/>
      <c r="D725" s="56"/>
      <c r="E725" s="56"/>
      <c r="F725" s="57"/>
      <c r="G725" s="57"/>
      <c r="H725" s="57"/>
      <c r="I725" s="56"/>
      <c r="J725" s="56"/>
      <c r="K725" s="56"/>
      <c r="L725" s="57"/>
      <c r="M725" s="56"/>
      <c r="N725" s="56"/>
      <c r="O725" s="57"/>
      <c r="P725" s="56"/>
      <c r="Q725" s="56"/>
      <c r="R725" s="56"/>
      <c r="S725" s="56"/>
      <c r="T725" s="56"/>
      <c r="U725" s="56"/>
      <c r="V725" s="56"/>
      <c r="W725" s="56"/>
      <c r="X725" s="56"/>
      <c r="Y725" s="57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</row>
    <row r="726" spans="1:39" x14ac:dyDescent="0.4">
      <c r="A726" s="56"/>
      <c r="B726" s="59"/>
      <c r="C726" s="56"/>
      <c r="D726" s="56"/>
      <c r="E726" s="56"/>
      <c r="F726" s="57"/>
      <c r="G726" s="57"/>
      <c r="H726" s="57"/>
      <c r="I726" s="56"/>
      <c r="J726" s="56"/>
      <c r="K726" s="56"/>
      <c r="L726" s="56"/>
      <c r="M726" s="56"/>
      <c r="N726" s="57"/>
      <c r="O726" s="57"/>
      <c r="P726" s="56"/>
      <c r="Q726" s="56"/>
      <c r="R726" s="56"/>
      <c r="S726" s="56"/>
      <c r="T726" s="56"/>
      <c r="U726" s="56"/>
      <c r="V726" s="56"/>
      <c r="W726" s="56"/>
      <c r="X726" s="56"/>
      <c r="Y726" s="57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</row>
    <row r="727" spans="1:39" x14ac:dyDescent="0.4">
      <c r="A727" s="56"/>
      <c r="B727" s="59"/>
      <c r="C727" s="56"/>
      <c r="D727" s="56"/>
      <c r="E727" s="56"/>
      <c r="F727" s="57"/>
      <c r="G727" s="57"/>
      <c r="H727" s="57"/>
      <c r="I727" s="56"/>
      <c r="J727" s="56"/>
      <c r="K727" s="56"/>
      <c r="L727" s="56"/>
      <c r="M727" s="56"/>
      <c r="N727" s="56"/>
      <c r="O727" s="57"/>
      <c r="P727" s="56"/>
      <c r="Q727" s="56"/>
      <c r="R727" s="56"/>
      <c r="S727" s="56"/>
      <c r="T727" s="56"/>
      <c r="U727" s="56"/>
      <c r="V727" s="56"/>
      <c r="W727" s="56"/>
      <c r="X727" s="56"/>
      <c r="Y727" s="57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</row>
    <row r="728" spans="1:39" x14ac:dyDescent="0.4">
      <c r="A728" s="56"/>
      <c r="B728" s="59"/>
      <c r="C728" s="56"/>
      <c r="D728" s="56"/>
      <c r="E728" s="56"/>
      <c r="F728" s="57"/>
      <c r="G728" s="57"/>
      <c r="H728" s="57"/>
      <c r="I728" s="56"/>
      <c r="J728" s="56"/>
      <c r="K728" s="56"/>
      <c r="L728" s="56"/>
      <c r="M728" s="56"/>
      <c r="N728" s="56"/>
      <c r="O728" s="57"/>
      <c r="P728" s="56"/>
      <c r="Q728" s="56"/>
      <c r="R728" s="56"/>
      <c r="S728" s="56"/>
      <c r="T728" s="56"/>
      <c r="U728" s="56"/>
      <c r="V728" s="56"/>
      <c r="W728" s="56"/>
      <c r="X728" s="56"/>
      <c r="Y728" s="57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</row>
    <row r="729" spans="1:39" x14ac:dyDescent="0.4">
      <c r="A729" s="56"/>
      <c r="B729" s="59"/>
      <c r="C729" s="56"/>
      <c r="D729" s="56"/>
      <c r="E729" s="56"/>
      <c r="F729" s="57"/>
      <c r="G729" s="57"/>
      <c r="H729" s="57"/>
      <c r="I729" s="56"/>
      <c r="J729" s="56"/>
      <c r="K729" s="56"/>
      <c r="L729" s="56"/>
      <c r="M729" s="56"/>
      <c r="N729" s="56"/>
      <c r="O729" s="57"/>
      <c r="P729" s="56"/>
      <c r="Q729" s="56"/>
      <c r="R729" s="56"/>
      <c r="S729" s="56"/>
      <c r="T729" s="56"/>
      <c r="U729" s="56"/>
      <c r="V729" s="56"/>
      <c r="W729" s="56"/>
      <c r="X729" s="56"/>
      <c r="Y729" s="57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</row>
    <row r="730" spans="1:39" x14ac:dyDescent="0.4">
      <c r="A730" s="56"/>
      <c r="B730" s="59"/>
      <c r="C730" s="56"/>
      <c r="D730" s="56"/>
      <c r="E730" s="56"/>
      <c r="F730" s="57"/>
      <c r="G730" s="57"/>
      <c r="H730" s="57"/>
      <c r="I730" s="56"/>
      <c r="J730" s="56"/>
      <c r="K730" s="56"/>
      <c r="L730" s="56"/>
      <c r="M730" s="56"/>
      <c r="N730" s="56"/>
      <c r="O730" s="57"/>
      <c r="P730" s="56"/>
      <c r="Q730" s="56"/>
      <c r="R730" s="56"/>
      <c r="S730" s="56"/>
      <c r="T730" s="56"/>
      <c r="U730" s="56"/>
      <c r="V730" s="56"/>
      <c r="W730" s="56"/>
      <c r="X730" s="56"/>
      <c r="Y730" s="57"/>
      <c r="Z730" s="56"/>
      <c r="AA730" s="56"/>
      <c r="AB730" s="56"/>
      <c r="AC730" s="56"/>
      <c r="AD730" s="56"/>
      <c r="AE730" s="58"/>
      <c r="AF730" s="56"/>
      <c r="AG730" s="56"/>
      <c r="AH730" s="56"/>
      <c r="AI730" s="56"/>
      <c r="AJ730" s="56"/>
      <c r="AK730" s="56"/>
      <c r="AL730" s="56"/>
      <c r="AM730" s="58"/>
    </row>
    <row r="731" spans="1:39" x14ac:dyDescent="0.4">
      <c r="A731" s="56"/>
      <c r="B731" s="59"/>
      <c r="C731" s="56"/>
      <c r="D731" s="56"/>
      <c r="E731" s="56"/>
      <c r="F731" s="57"/>
      <c r="G731" s="57"/>
      <c r="H731" s="57"/>
      <c r="I731" s="56"/>
      <c r="J731" s="56"/>
      <c r="K731" s="56"/>
      <c r="L731" s="56"/>
      <c r="M731" s="56"/>
      <c r="N731" s="56"/>
      <c r="O731" s="57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</row>
    <row r="732" spans="1:39" x14ac:dyDescent="0.4">
      <c r="A732" s="56"/>
      <c r="B732" s="59"/>
      <c r="C732" s="56"/>
      <c r="D732" s="56"/>
      <c r="E732" s="56"/>
      <c r="F732" s="57"/>
      <c r="G732" s="57"/>
      <c r="H732" s="57"/>
      <c r="I732" s="56"/>
      <c r="J732" s="56"/>
      <c r="K732" s="56"/>
      <c r="L732" s="56"/>
      <c r="M732" s="56"/>
      <c r="N732" s="56"/>
      <c r="O732" s="57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</row>
    <row r="733" spans="1:39" x14ac:dyDescent="0.4">
      <c r="A733" s="56"/>
      <c r="B733" s="59"/>
      <c r="C733" s="56"/>
      <c r="D733" s="56"/>
      <c r="E733" s="56"/>
      <c r="F733" s="57"/>
      <c r="G733" s="57"/>
      <c r="H733" s="57"/>
      <c r="I733" s="56"/>
      <c r="J733" s="56"/>
      <c r="K733" s="56"/>
      <c r="L733" s="56"/>
      <c r="M733" s="56"/>
      <c r="N733" s="56"/>
      <c r="O733" s="57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</row>
    <row r="734" spans="1:39" x14ac:dyDescent="0.4">
      <c r="A734" s="56"/>
      <c r="B734" s="59"/>
      <c r="C734" s="56"/>
      <c r="D734" s="56"/>
      <c r="E734" s="56"/>
      <c r="F734" s="57"/>
      <c r="G734" s="57"/>
      <c r="H734" s="57"/>
      <c r="I734" s="56"/>
      <c r="J734" s="56"/>
      <c r="K734" s="56"/>
      <c r="L734" s="56"/>
      <c r="M734" s="56"/>
      <c r="N734" s="56"/>
      <c r="O734" s="57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</row>
    <row r="735" spans="1:39" x14ac:dyDescent="0.4">
      <c r="A735" s="56"/>
      <c r="B735" s="59"/>
      <c r="C735" s="56"/>
      <c r="D735" s="56"/>
      <c r="E735" s="56"/>
      <c r="F735" s="57"/>
      <c r="G735" s="57"/>
      <c r="H735" s="57"/>
      <c r="I735" s="56"/>
      <c r="J735" s="56"/>
      <c r="K735" s="56"/>
      <c r="L735" s="56"/>
      <c r="M735" s="56"/>
      <c r="N735" s="56"/>
      <c r="O735" s="57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</row>
    <row r="736" spans="1:39" x14ac:dyDescent="0.4">
      <c r="A736" s="56"/>
      <c r="B736" s="59"/>
      <c r="C736" s="56"/>
      <c r="D736" s="56"/>
      <c r="E736" s="56"/>
      <c r="F736" s="57"/>
      <c r="G736" s="57"/>
      <c r="H736" s="57"/>
      <c r="I736" s="56"/>
      <c r="J736" s="56"/>
      <c r="K736" s="56"/>
      <c r="L736" s="56"/>
      <c r="M736" s="56"/>
      <c r="N736" s="56"/>
      <c r="O736" s="57"/>
      <c r="P736" s="56"/>
      <c r="Q736" s="56"/>
      <c r="R736" s="56"/>
      <c r="S736" s="56"/>
      <c r="T736" s="56"/>
      <c r="U736" s="56"/>
      <c r="V736" s="56"/>
      <c r="W736" s="56"/>
      <c r="X736" s="56"/>
      <c r="Y736" s="57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</row>
    <row r="737" spans="1:39" x14ac:dyDescent="0.4">
      <c r="A737" s="56"/>
      <c r="B737" s="59"/>
      <c r="C737" s="56"/>
      <c r="D737" s="56"/>
      <c r="E737" s="56"/>
      <c r="F737" s="57"/>
      <c r="G737" s="57"/>
      <c r="H737" s="57"/>
      <c r="I737" s="56"/>
      <c r="J737" s="56"/>
      <c r="K737" s="56"/>
      <c r="L737" s="56"/>
      <c r="M737" s="56"/>
      <c r="N737" s="56"/>
      <c r="O737" s="57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</row>
    <row r="738" spans="1:39" x14ac:dyDescent="0.4">
      <c r="A738" s="56"/>
      <c r="B738" s="59"/>
      <c r="C738" s="56"/>
      <c r="D738" s="56"/>
      <c r="E738" s="56"/>
      <c r="F738" s="57"/>
      <c r="G738" s="57"/>
      <c r="H738" s="57"/>
      <c r="I738" s="56"/>
      <c r="J738" s="56"/>
      <c r="K738" s="56"/>
      <c r="L738" s="56"/>
      <c r="M738" s="56"/>
      <c r="N738" s="56"/>
      <c r="O738" s="57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</row>
    <row r="739" spans="1:39" x14ac:dyDescent="0.4">
      <c r="E739" s="56"/>
      <c r="F739" s="57"/>
      <c r="G739" s="57"/>
      <c r="H739" s="57"/>
    </row>
  </sheetData>
  <phoneticPr fontId="1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10442-060D-443A-BC2F-C8DC683C2769}">
  <sheetPr codeName="Sheet8"/>
  <dimension ref="A1:AM739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5.125" bestFit="1" customWidth="1"/>
    <col min="2" max="2" width="40" style="10" bestFit="1" customWidth="1"/>
    <col min="4" max="4" width="2.625" customWidth="1"/>
    <col min="5" max="5" width="21.375" bestFit="1" customWidth="1"/>
    <col min="6" max="7" width="15.25" style="49" bestFit="1" customWidth="1"/>
    <col min="8" max="8" width="13.25" style="49" bestFit="1" customWidth="1"/>
    <col min="9" max="11" width="2.625" customWidth="1"/>
    <col min="12" max="12" width="40.625" customWidth="1"/>
    <col min="13" max="13" width="11.25" bestFit="1" customWidth="1"/>
    <col min="14" max="14" width="7.5" bestFit="1" customWidth="1"/>
    <col min="15" max="15" width="13.25" style="49" bestFit="1" customWidth="1"/>
    <col min="16" max="19" width="11.25" bestFit="1" customWidth="1"/>
    <col min="20" max="23" width="8.625" customWidth="1"/>
  </cols>
  <sheetData>
    <row r="1" spans="1:27" x14ac:dyDescent="0.4">
      <c r="A1" s="56" t="s">
        <v>277</v>
      </c>
      <c r="B1" s="59" t="s">
        <v>743</v>
      </c>
      <c r="C1" s="56" t="s">
        <v>782</v>
      </c>
      <c r="D1" s="56"/>
      <c r="E1" s="56" t="s">
        <v>277</v>
      </c>
      <c r="F1" s="57" t="s">
        <v>278</v>
      </c>
      <c r="G1" s="57" t="s">
        <v>279</v>
      </c>
      <c r="H1" s="57" t="s">
        <v>280</v>
      </c>
      <c r="I1" s="56"/>
      <c r="J1" s="56" t="s">
        <v>309</v>
      </c>
      <c r="K1" s="56" t="s">
        <v>334</v>
      </c>
      <c r="L1" s="56" t="s">
        <v>335</v>
      </c>
      <c r="M1" s="56" t="s">
        <v>336</v>
      </c>
      <c r="N1" s="56" t="s">
        <v>337</v>
      </c>
      <c r="O1" s="49" t="s">
        <v>338</v>
      </c>
      <c r="P1" t="s">
        <v>339</v>
      </c>
      <c r="Q1" t="s">
        <v>340</v>
      </c>
      <c r="R1" t="s">
        <v>341</v>
      </c>
      <c r="S1" t="s">
        <v>342</v>
      </c>
      <c r="T1" t="s">
        <v>343</v>
      </c>
      <c r="U1" t="s">
        <v>344</v>
      </c>
      <c r="V1" t="s">
        <v>345</v>
      </c>
      <c r="W1" t="s">
        <v>346</v>
      </c>
      <c r="Y1" t="s">
        <v>786</v>
      </c>
      <c r="Z1" t="s">
        <v>308</v>
      </c>
      <c r="AA1" t="s">
        <v>789</v>
      </c>
    </row>
    <row r="2" spans="1:27" x14ac:dyDescent="0.4">
      <c r="A2" s="56" t="s">
        <v>293</v>
      </c>
      <c r="B2" s="59" t="s">
        <v>855</v>
      </c>
      <c r="C2" s="56"/>
      <c r="D2" s="56"/>
      <c r="E2" s="56" t="s">
        <v>281</v>
      </c>
      <c r="F2" s="57">
        <v>7185320</v>
      </c>
      <c r="G2" s="57">
        <v>3061100</v>
      </c>
      <c r="H2" s="57">
        <v>10246420</v>
      </c>
      <c r="J2" t="s">
        <v>73</v>
      </c>
      <c r="Y2" t="s">
        <v>125</v>
      </c>
      <c r="Z2" t="e">
        <v>#REF!</v>
      </c>
      <c r="AA2" t="e">
        <v>#REF!</v>
      </c>
    </row>
    <row r="3" spans="1:27" x14ac:dyDescent="0.4">
      <c r="A3" s="56" t="s">
        <v>294</v>
      </c>
      <c r="B3" s="10" t="s">
        <v>295</v>
      </c>
      <c r="E3" s="56" t="s">
        <v>282</v>
      </c>
      <c r="F3" s="57">
        <v>5311900</v>
      </c>
      <c r="G3" s="57">
        <v>503025</v>
      </c>
      <c r="H3" s="57">
        <v>5814925</v>
      </c>
      <c r="K3" t="s">
        <v>347</v>
      </c>
      <c r="Y3" t="s">
        <v>126</v>
      </c>
      <c r="Z3" t="e">
        <v>#REF!</v>
      </c>
      <c r="AA3" t="e">
        <v>#REF!</v>
      </c>
    </row>
    <row r="4" spans="1:27" x14ac:dyDescent="0.4">
      <c r="A4" s="56" t="s">
        <v>296</v>
      </c>
      <c r="B4" s="59" t="s">
        <v>297</v>
      </c>
      <c r="C4" s="56"/>
      <c r="E4" s="56" t="s">
        <v>283</v>
      </c>
      <c r="F4" s="57">
        <v>3118000</v>
      </c>
      <c r="G4" s="57">
        <v>1120510</v>
      </c>
      <c r="H4" s="57">
        <v>4238510</v>
      </c>
      <c r="L4" t="s">
        <v>348</v>
      </c>
      <c r="Y4" t="s">
        <v>127</v>
      </c>
      <c r="Z4" t="e">
        <v>#REF!</v>
      </c>
      <c r="AA4" t="e">
        <v>#REF!</v>
      </c>
    </row>
    <row r="5" spans="1:27" x14ac:dyDescent="0.4">
      <c r="A5" s="56" t="s">
        <v>298</v>
      </c>
      <c r="B5" s="59" t="s">
        <v>299</v>
      </c>
      <c r="C5" s="56"/>
      <c r="E5" s="56" t="s">
        <v>284</v>
      </c>
      <c r="F5" s="57">
        <v>4586100</v>
      </c>
      <c r="G5" s="57">
        <v>2886216</v>
      </c>
      <c r="H5" s="57">
        <v>7472316</v>
      </c>
      <c r="L5" t="s">
        <v>349</v>
      </c>
      <c r="M5">
        <v>105.5</v>
      </c>
      <c r="N5">
        <v>45</v>
      </c>
      <c r="O5" s="49">
        <v>4747500</v>
      </c>
      <c r="P5">
        <v>105.5</v>
      </c>
      <c r="Q5">
        <v>4747.5</v>
      </c>
      <c r="R5">
        <v>0</v>
      </c>
      <c r="S5">
        <v>0</v>
      </c>
      <c r="T5">
        <v>105.5</v>
      </c>
      <c r="U5">
        <v>4747.5</v>
      </c>
      <c r="V5">
        <v>0</v>
      </c>
      <c r="W5">
        <v>0</v>
      </c>
      <c r="Y5" t="s">
        <v>129</v>
      </c>
      <c r="Z5" t="e">
        <v>#REF!</v>
      </c>
      <c r="AA5" t="e">
        <v>#REF!</v>
      </c>
    </row>
    <row r="6" spans="1:27" x14ac:dyDescent="0.4">
      <c r="A6" s="56" t="s">
        <v>270</v>
      </c>
      <c r="B6" s="59" t="s">
        <v>850</v>
      </c>
      <c r="C6" s="56"/>
      <c r="D6" s="56"/>
      <c r="E6" s="56" t="s">
        <v>285</v>
      </c>
      <c r="F6" s="57">
        <v>31000</v>
      </c>
      <c r="G6" s="57">
        <v>2075680</v>
      </c>
      <c r="H6" s="57">
        <v>2106680</v>
      </c>
      <c r="L6" t="s">
        <v>350</v>
      </c>
      <c r="M6">
        <v>55</v>
      </c>
      <c r="N6">
        <v>11</v>
      </c>
      <c r="O6" s="49">
        <v>605000</v>
      </c>
      <c r="P6">
        <v>55</v>
      </c>
      <c r="Q6">
        <v>605</v>
      </c>
      <c r="R6">
        <v>0</v>
      </c>
      <c r="S6">
        <v>0</v>
      </c>
      <c r="T6">
        <v>55</v>
      </c>
      <c r="U6">
        <v>605</v>
      </c>
      <c r="V6">
        <v>0</v>
      </c>
      <c r="W6">
        <v>0</v>
      </c>
      <c r="Y6" t="s">
        <v>121</v>
      </c>
      <c r="Z6" t="e">
        <v>#REF!</v>
      </c>
      <c r="AA6" t="e">
        <v>#REF!</v>
      </c>
    </row>
    <row r="7" spans="1:27" x14ac:dyDescent="0.4">
      <c r="A7" s="56" t="s">
        <v>300</v>
      </c>
      <c r="B7" s="59" t="s">
        <v>271</v>
      </c>
      <c r="C7" s="56"/>
      <c r="D7" s="56"/>
      <c r="E7" s="56" t="s">
        <v>286</v>
      </c>
      <c r="F7" s="57">
        <v>17400</v>
      </c>
      <c r="G7" s="57">
        <v>1076300</v>
      </c>
      <c r="H7" s="57">
        <v>1093700</v>
      </c>
      <c r="L7" t="s">
        <v>351</v>
      </c>
      <c r="M7">
        <v>100</v>
      </c>
      <c r="N7">
        <v>1</v>
      </c>
      <c r="O7" s="49">
        <v>100000</v>
      </c>
      <c r="P7">
        <v>100</v>
      </c>
      <c r="Q7">
        <v>100</v>
      </c>
      <c r="R7">
        <v>0</v>
      </c>
      <c r="S7">
        <v>0</v>
      </c>
      <c r="T7">
        <v>100</v>
      </c>
      <c r="U7">
        <v>100</v>
      </c>
      <c r="V7">
        <v>0</v>
      </c>
      <c r="W7">
        <v>0</v>
      </c>
      <c r="Y7" t="s">
        <v>123</v>
      </c>
      <c r="Z7" t="e">
        <v>#REF!</v>
      </c>
      <c r="AA7" t="e">
        <v>#REF!</v>
      </c>
    </row>
    <row r="8" spans="1:27" x14ac:dyDescent="0.4">
      <c r="A8" t="s">
        <v>272</v>
      </c>
      <c r="B8" s="10" t="s">
        <v>851</v>
      </c>
      <c r="E8" s="56" t="s">
        <v>287</v>
      </c>
      <c r="F8" s="57">
        <v>0</v>
      </c>
      <c r="G8" s="57">
        <v>1899000</v>
      </c>
      <c r="H8" s="57">
        <v>1899000</v>
      </c>
      <c r="L8" t="s">
        <v>352</v>
      </c>
      <c r="M8">
        <v>-1</v>
      </c>
      <c r="N8">
        <v>25</v>
      </c>
      <c r="O8" s="49">
        <v>-25000</v>
      </c>
      <c r="P8">
        <v>-1</v>
      </c>
      <c r="Q8">
        <v>-25</v>
      </c>
      <c r="R8">
        <v>0</v>
      </c>
      <c r="S8">
        <v>0</v>
      </c>
      <c r="T8">
        <v>-1</v>
      </c>
      <c r="U8">
        <v>-25</v>
      </c>
      <c r="V8">
        <v>0</v>
      </c>
      <c r="W8">
        <v>0</v>
      </c>
      <c r="Y8" t="s">
        <v>783</v>
      </c>
      <c r="Z8" t="e">
        <v>#REF!</v>
      </c>
      <c r="AA8" t="e">
        <v>#REF!</v>
      </c>
    </row>
    <row r="9" spans="1:27" x14ac:dyDescent="0.4">
      <c r="A9" t="s">
        <v>273</v>
      </c>
      <c r="B9" s="10" t="s">
        <v>275</v>
      </c>
      <c r="E9" s="56" t="s">
        <v>288</v>
      </c>
      <c r="F9" s="57">
        <v>0</v>
      </c>
      <c r="G9" s="57">
        <v>3295900</v>
      </c>
      <c r="H9" s="57">
        <v>3295900</v>
      </c>
      <c r="L9" t="s">
        <v>829</v>
      </c>
      <c r="M9">
        <v>6</v>
      </c>
      <c r="N9">
        <v>1</v>
      </c>
      <c r="O9" s="49">
        <v>6000</v>
      </c>
      <c r="P9">
        <v>6</v>
      </c>
      <c r="Q9">
        <v>6</v>
      </c>
      <c r="R9">
        <v>0</v>
      </c>
      <c r="S9">
        <v>0</v>
      </c>
      <c r="T9">
        <v>6</v>
      </c>
      <c r="U9">
        <v>6</v>
      </c>
      <c r="V9">
        <v>0</v>
      </c>
      <c r="W9">
        <v>0</v>
      </c>
      <c r="Y9" t="s">
        <v>111</v>
      </c>
      <c r="Z9" t="e">
        <v>#REF!</v>
      </c>
      <c r="AA9" t="e">
        <v>#REF!</v>
      </c>
    </row>
    <row r="10" spans="1:27" x14ac:dyDescent="0.4">
      <c r="A10" t="s">
        <v>274</v>
      </c>
      <c r="B10" s="10" t="s">
        <v>852</v>
      </c>
      <c r="E10" s="56" t="s">
        <v>289</v>
      </c>
      <c r="F10" s="57">
        <v>0</v>
      </c>
      <c r="G10" s="57">
        <v>-312000</v>
      </c>
      <c r="H10" s="57">
        <v>-312000</v>
      </c>
      <c r="L10" t="s">
        <v>857</v>
      </c>
      <c r="M10">
        <v>13</v>
      </c>
      <c r="N10">
        <v>2</v>
      </c>
      <c r="O10" s="49">
        <v>26000</v>
      </c>
      <c r="P10">
        <v>13</v>
      </c>
      <c r="Q10">
        <v>26</v>
      </c>
      <c r="R10">
        <v>0</v>
      </c>
      <c r="S10">
        <v>0</v>
      </c>
      <c r="T10">
        <v>13</v>
      </c>
      <c r="U10">
        <v>26</v>
      </c>
      <c r="V10">
        <v>0</v>
      </c>
      <c r="W10">
        <v>0</v>
      </c>
      <c r="Y10" t="s">
        <v>784</v>
      </c>
      <c r="Z10" t="e">
        <v>#REF!</v>
      </c>
      <c r="AA10" t="e">
        <v>#REF!</v>
      </c>
    </row>
    <row r="11" spans="1:27" x14ac:dyDescent="0.4">
      <c r="A11" t="s">
        <v>301</v>
      </c>
      <c r="B11" s="10">
        <v>57.26</v>
      </c>
      <c r="C11" s="50">
        <f t="shared" ref="C11:C15" si="0">B11*0.3025</f>
        <v>17.321149999999999</v>
      </c>
      <c r="E11" s="56" t="s">
        <v>290</v>
      </c>
      <c r="F11" s="57">
        <v>20249720</v>
      </c>
      <c r="G11" s="57">
        <v>15605731</v>
      </c>
      <c r="H11" s="57">
        <v>35855451</v>
      </c>
      <c r="I11" s="57"/>
      <c r="L11" t="s">
        <v>353</v>
      </c>
      <c r="M11">
        <v>1.4</v>
      </c>
      <c r="N11">
        <v>6</v>
      </c>
      <c r="O11" s="49">
        <v>8400</v>
      </c>
      <c r="P11">
        <v>1</v>
      </c>
      <c r="Q11">
        <v>6</v>
      </c>
      <c r="R11">
        <v>0.4</v>
      </c>
      <c r="S11">
        <v>2.4</v>
      </c>
      <c r="T11">
        <v>1</v>
      </c>
      <c r="U11">
        <v>6</v>
      </c>
      <c r="V11">
        <v>0.4</v>
      </c>
      <c r="W11">
        <v>2.4</v>
      </c>
      <c r="Y11" t="s">
        <v>785</v>
      </c>
      <c r="Z11" t="e">
        <v>#REF!</v>
      </c>
      <c r="AA11" t="e">
        <v>#REF!</v>
      </c>
    </row>
    <row r="12" spans="1:27" x14ac:dyDescent="0.4">
      <c r="A12" t="s">
        <v>302</v>
      </c>
      <c r="B12" s="10">
        <v>45.85</v>
      </c>
      <c r="C12" s="50">
        <f t="shared" si="0"/>
        <v>13.869624999999999</v>
      </c>
      <c r="E12" s="56" t="s">
        <v>291</v>
      </c>
      <c r="F12" s="57">
        <v>20489820</v>
      </c>
      <c r="G12" s="57">
        <v>15605731</v>
      </c>
      <c r="H12" s="57">
        <v>36095551</v>
      </c>
      <c r="L12" t="s">
        <v>354</v>
      </c>
      <c r="M12">
        <v>2</v>
      </c>
      <c r="N12">
        <v>103.11</v>
      </c>
      <c r="O12" s="49">
        <v>206220</v>
      </c>
      <c r="P12">
        <v>2</v>
      </c>
      <c r="Q12">
        <v>206.22</v>
      </c>
      <c r="R12">
        <v>0</v>
      </c>
      <c r="S12">
        <v>0</v>
      </c>
      <c r="T12">
        <v>2</v>
      </c>
      <c r="U12">
        <v>206.22</v>
      </c>
      <c r="V12">
        <v>0</v>
      </c>
      <c r="W12">
        <v>0</v>
      </c>
    </row>
    <row r="13" spans="1:27" x14ac:dyDescent="0.4">
      <c r="A13" t="s">
        <v>303</v>
      </c>
      <c r="C13" s="50">
        <f t="shared" si="0"/>
        <v>0</v>
      </c>
      <c r="E13" s="56" t="s">
        <v>292</v>
      </c>
      <c r="F13" s="57">
        <v>-240100</v>
      </c>
      <c r="G13" s="57">
        <v>0</v>
      </c>
      <c r="H13" s="57">
        <v>-240100</v>
      </c>
      <c r="L13" t="s">
        <v>830</v>
      </c>
      <c r="M13">
        <v>-7</v>
      </c>
      <c r="N13">
        <v>45</v>
      </c>
      <c r="O13" s="49">
        <v>-315000</v>
      </c>
      <c r="P13">
        <v>-7</v>
      </c>
      <c r="Q13">
        <v>-315</v>
      </c>
      <c r="R13">
        <v>0</v>
      </c>
      <c r="S13">
        <v>0</v>
      </c>
      <c r="T13">
        <v>-7</v>
      </c>
      <c r="U13">
        <v>-315</v>
      </c>
      <c r="V13">
        <v>0</v>
      </c>
      <c r="W13">
        <v>0</v>
      </c>
    </row>
    <row r="14" spans="1:27" x14ac:dyDescent="0.4">
      <c r="A14" t="s">
        <v>304</v>
      </c>
      <c r="B14" s="10">
        <v>103.11</v>
      </c>
      <c r="C14" s="50">
        <f t="shared" si="0"/>
        <v>31.190774999999999</v>
      </c>
      <c r="L14" t="s">
        <v>355</v>
      </c>
    </row>
    <row r="15" spans="1:27" x14ac:dyDescent="0.4">
      <c r="A15" t="s">
        <v>305</v>
      </c>
      <c r="B15" s="10">
        <v>59.7</v>
      </c>
      <c r="C15" s="50">
        <f t="shared" si="0"/>
        <v>18.059249999999999</v>
      </c>
      <c r="L15" t="s">
        <v>356</v>
      </c>
      <c r="M15">
        <v>2.8</v>
      </c>
      <c r="N15">
        <v>58</v>
      </c>
      <c r="O15" s="49">
        <v>162400</v>
      </c>
      <c r="P15">
        <v>2.8</v>
      </c>
      <c r="Q15">
        <v>162.4</v>
      </c>
      <c r="R15">
        <v>0</v>
      </c>
      <c r="S15">
        <v>0</v>
      </c>
      <c r="T15">
        <v>2.8</v>
      </c>
      <c r="U15">
        <v>162.4</v>
      </c>
      <c r="V15">
        <v>0</v>
      </c>
      <c r="W15">
        <v>0</v>
      </c>
    </row>
    <row r="16" spans="1:27" x14ac:dyDescent="0.4">
      <c r="A16" t="s">
        <v>306</v>
      </c>
      <c r="L16" t="s">
        <v>357</v>
      </c>
      <c r="M16">
        <v>1.4</v>
      </c>
      <c r="N16">
        <v>12</v>
      </c>
      <c r="O16" s="49">
        <v>16800</v>
      </c>
      <c r="P16">
        <v>1.4</v>
      </c>
      <c r="Q16">
        <v>16.8</v>
      </c>
      <c r="R16">
        <v>0</v>
      </c>
      <c r="S16">
        <v>0</v>
      </c>
      <c r="T16">
        <v>1.4</v>
      </c>
      <c r="U16">
        <v>16.8</v>
      </c>
      <c r="V16">
        <v>0</v>
      </c>
      <c r="W16">
        <v>0</v>
      </c>
    </row>
    <row r="17" spans="1:23" x14ac:dyDescent="0.4">
      <c r="A17" t="s">
        <v>307</v>
      </c>
      <c r="B17" s="10" t="s">
        <v>276</v>
      </c>
      <c r="L17" t="s">
        <v>858</v>
      </c>
      <c r="M17">
        <v>3</v>
      </c>
      <c r="N17">
        <v>2</v>
      </c>
      <c r="O17" s="49">
        <v>6000</v>
      </c>
      <c r="P17">
        <v>3</v>
      </c>
      <c r="Q17">
        <v>6</v>
      </c>
      <c r="R17">
        <v>0</v>
      </c>
      <c r="S17">
        <v>0</v>
      </c>
      <c r="T17">
        <v>3</v>
      </c>
      <c r="U17">
        <v>6</v>
      </c>
      <c r="V17">
        <v>0</v>
      </c>
      <c r="W17">
        <v>0</v>
      </c>
    </row>
    <row r="18" spans="1:23" x14ac:dyDescent="0.4">
      <c r="A18" t="s">
        <v>308</v>
      </c>
      <c r="B18" s="10" t="s">
        <v>853</v>
      </c>
      <c r="L18" t="s">
        <v>358</v>
      </c>
    </row>
    <row r="19" spans="1:23" x14ac:dyDescent="0.4">
      <c r="A19" t="s">
        <v>285</v>
      </c>
      <c r="B19" s="10" t="s">
        <v>854</v>
      </c>
      <c r="L19" t="s">
        <v>359</v>
      </c>
      <c r="M19">
        <v>0.3</v>
      </c>
      <c r="N19">
        <v>25</v>
      </c>
      <c r="O19" s="49">
        <v>7500</v>
      </c>
      <c r="P19">
        <v>0.2</v>
      </c>
      <c r="Q19">
        <v>5</v>
      </c>
      <c r="R19">
        <v>0.1</v>
      </c>
      <c r="S19">
        <v>2.5</v>
      </c>
      <c r="T19">
        <v>0.2</v>
      </c>
      <c r="U19">
        <v>5</v>
      </c>
      <c r="V19">
        <v>0.1</v>
      </c>
      <c r="W19">
        <v>2.5</v>
      </c>
    </row>
    <row r="20" spans="1:23" x14ac:dyDescent="0.4">
      <c r="L20" t="s">
        <v>360</v>
      </c>
    </row>
    <row r="21" spans="1:23" x14ac:dyDescent="0.4">
      <c r="A21" s="56" t="s">
        <v>744</v>
      </c>
      <c r="B21" s="60" t="s">
        <v>745</v>
      </c>
      <c r="C21" s="56"/>
      <c r="D21" s="57"/>
      <c r="E21" s="61" t="s">
        <v>744</v>
      </c>
      <c r="F21" s="62" t="s">
        <v>745</v>
      </c>
      <c r="G21" s="62" t="s">
        <v>746</v>
      </c>
      <c r="H21" s="62" t="s">
        <v>747</v>
      </c>
      <c r="L21" t="s">
        <v>361</v>
      </c>
      <c r="M21">
        <v>13</v>
      </c>
      <c r="N21">
        <v>104</v>
      </c>
      <c r="O21" s="49">
        <v>1352000</v>
      </c>
      <c r="P21">
        <v>0</v>
      </c>
      <c r="Q21">
        <v>0</v>
      </c>
      <c r="R21">
        <v>13</v>
      </c>
      <c r="S21">
        <v>1352</v>
      </c>
      <c r="T21">
        <v>0</v>
      </c>
      <c r="U21">
        <v>0</v>
      </c>
      <c r="V21">
        <v>13</v>
      </c>
      <c r="W21">
        <v>1352</v>
      </c>
    </row>
    <row r="22" spans="1:23" x14ac:dyDescent="0.4">
      <c r="A22" s="57" t="s">
        <v>85</v>
      </c>
      <c r="B22" s="60">
        <f>VLOOKUP("合計",E1:H13,4,FALSE)</f>
        <v>35855451</v>
      </c>
      <c r="C22" s="56"/>
      <c r="D22" s="57"/>
      <c r="E22" s="61" t="s">
        <v>234</v>
      </c>
      <c r="F22" s="62">
        <v>5546920</v>
      </c>
      <c r="G22" s="62">
        <v>2975400</v>
      </c>
      <c r="H22" s="62">
        <v>8522320</v>
      </c>
      <c r="L22" t="s">
        <v>362</v>
      </c>
      <c r="M22">
        <v>14</v>
      </c>
      <c r="N22">
        <v>104</v>
      </c>
      <c r="O22" s="49">
        <v>1456000</v>
      </c>
      <c r="P22">
        <v>0</v>
      </c>
      <c r="Q22">
        <v>0</v>
      </c>
      <c r="R22">
        <v>14</v>
      </c>
      <c r="S22">
        <v>1456</v>
      </c>
      <c r="T22">
        <v>0</v>
      </c>
      <c r="U22">
        <v>0</v>
      </c>
      <c r="V22">
        <v>14</v>
      </c>
      <c r="W22">
        <v>1456</v>
      </c>
    </row>
    <row r="23" spans="1:23" x14ac:dyDescent="0.4">
      <c r="A23" s="57" t="s">
        <v>86</v>
      </c>
      <c r="B23" s="60">
        <f>INT(B22 / (VLOOKUP("延床面積",A1:C17,2,FALSE)*0.3025))</f>
        <v>1149553</v>
      </c>
      <c r="C23" s="56"/>
      <c r="D23" s="57"/>
      <c r="E23" s="61" t="s">
        <v>235</v>
      </c>
      <c r="F23" s="62">
        <v>1638400</v>
      </c>
      <c r="G23" s="62">
        <v>85700</v>
      </c>
      <c r="H23" s="62">
        <v>1724100</v>
      </c>
      <c r="L23" t="s">
        <v>363</v>
      </c>
      <c r="M23">
        <v>25</v>
      </c>
      <c r="N23">
        <v>1</v>
      </c>
      <c r="O23" s="49">
        <v>25000</v>
      </c>
      <c r="P23">
        <v>0</v>
      </c>
      <c r="Q23">
        <v>0</v>
      </c>
      <c r="R23">
        <v>25</v>
      </c>
      <c r="S23">
        <v>25</v>
      </c>
      <c r="T23">
        <v>0</v>
      </c>
      <c r="U23">
        <v>0</v>
      </c>
      <c r="V23">
        <v>25</v>
      </c>
      <c r="W23">
        <v>25</v>
      </c>
    </row>
    <row r="24" spans="1:23" x14ac:dyDescent="0.4">
      <c r="A24" s="57" t="s">
        <v>87</v>
      </c>
      <c r="B24" s="60">
        <f>VLOOKUP("ｳｫｰﾑﾌｧｸﾄﾘｰ 小計",E15:H171,4,FALSE)+VLOOKUP("ｴｱｰﾌｧｸﾄﾘｰ 小計",E15:H171,4,FALSE)+VLOOKUP("快適ｴｱﾘｰ 小計",E15:H171,4,FALSE)</f>
        <v>1053100</v>
      </c>
      <c r="C24" s="56"/>
      <c r="D24" s="57"/>
      <c r="E24" s="61" t="s">
        <v>310</v>
      </c>
      <c r="F24" s="62">
        <v>0</v>
      </c>
      <c r="G24" s="62">
        <v>0</v>
      </c>
      <c r="H24" s="62">
        <v>0</v>
      </c>
      <c r="L24" t="s">
        <v>364</v>
      </c>
      <c r="M24">
        <v>12.5</v>
      </c>
      <c r="N24">
        <v>11</v>
      </c>
      <c r="O24" s="49">
        <v>137500</v>
      </c>
      <c r="P24">
        <v>0</v>
      </c>
      <c r="Q24">
        <v>0</v>
      </c>
      <c r="R24">
        <v>12.5</v>
      </c>
      <c r="S24">
        <v>137.5</v>
      </c>
      <c r="T24">
        <v>0</v>
      </c>
      <c r="U24">
        <v>0</v>
      </c>
      <c r="V24">
        <v>12.5</v>
      </c>
      <c r="W24">
        <v>137.5</v>
      </c>
    </row>
    <row r="25" spans="1:23" x14ac:dyDescent="0.4">
      <c r="A25" s="57" t="s">
        <v>88</v>
      </c>
      <c r="B25" s="60">
        <f>VLOOKUP("太陽光発電 小計",E15:H171,4,FALSE)+VLOOKUP("太陽光共通 小計",E15:H171,4,FALSE)+VLOOKUP("ｽﾏｰﾄﾊｲﾑﾅﾋﾞ 小計",E15:H171,4,FALSE)+VLOOKUP("蓄電池 小計",E15:H171,4,FALSE)+VLOOKUP("ｽﾏｰﾄﾊｲﾑ特別減額 小計",E15:H171,4,FALSE)</f>
        <v>0</v>
      </c>
      <c r="C25" s="56"/>
      <c r="D25" s="57"/>
      <c r="E25" s="61" t="s">
        <v>236</v>
      </c>
      <c r="F25" s="62">
        <v>3668900</v>
      </c>
      <c r="G25" s="62">
        <v>0</v>
      </c>
      <c r="H25" s="62">
        <v>3668900</v>
      </c>
      <c r="K25" t="s">
        <v>365</v>
      </c>
      <c r="O25" s="49">
        <v>8522320</v>
      </c>
      <c r="Q25">
        <v>5546.92</v>
      </c>
      <c r="S25">
        <v>2975.4</v>
      </c>
      <c r="U25">
        <v>5546.92</v>
      </c>
      <c r="W25">
        <v>2975.4</v>
      </c>
    </row>
    <row r="26" spans="1:23" x14ac:dyDescent="0.4">
      <c r="A26" s="57" t="s">
        <v>89</v>
      </c>
      <c r="B26" s="60">
        <f>B22-B24-B25</f>
        <v>34802351</v>
      </c>
      <c r="C26" s="56"/>
      <c r="D26" s="57"/>
      <c r="E26" s="61" t="s">
        <v>237</v>
      </c>
      <c r="F26" s="62">
        <v>1179000</v>
      </c>
      <c r="G26" s="62">
        <v>13400</v>
      </c>
      <c r="H26" s="62">
        <v>1192400</v>
      </c>
      <c r="K26" t="s">
        <v>366</v>
      </c>
    </row>
    <row r="27" spans="1:23" x14ac:dyDescent="0.4">
      <c r="A27" s="57" t="s">
        <v>90</v>
      </c>
      <c r="B27" s="60">
        <f>INT(B26/ (VLOOKUP("延床面積",A1:C17,2,FALSE)*0.3025))</f>
        <v>1115789</v>
      </c>
      <c r="C27" s="56"/>
      <c r="D27" s="57"/>
      <c r="E27" s="61" t="s">
        <v>238</v>
      </c>
      <c r="F27" s="62">
        <v>0</v>
      </c>
      <c r="G27" s="62">
        <v>0</v>
      </c>
      <c r="H27" s="62">
        <v>0</v>
      </c>
      <c r="L27" t="s">
        <v>367</v>
      </c>
    </row>
    <row r="28" spans="1:23" x14ac:dyDescent="0.4">
      <c r="A28" s="57" t="s">
        <v>91</v>
      </c>
      <c r="B28" s="60">
        <f>VLOOKUP(A28,L:N,3,FALSE)</f>
        <v>45</v>
      </c>
      <c r="C28" s="56"/>
      <c r="D28" s="57"/>
      <c r="E28" s="61" t="s">
        <v>239</v>
      </c>
      <c r="F28" s="62">
        <v>0</v>
      </c>
      <c r="G28" s="62">
        <v>0</v>
      </c>
      <c r="H28" s="62">
        <v>0</v>
      </c>
      <c r="L28" t="s">
        <v>368</v>
      </c>
      <c r="M28">
        <v>-18</v>
      </c>
      <c r="N28">
        <v>5</v>
      </c>
      <c r="O28" s="49">
        <v>-90000</v>
      </c>
      <c r="P28">
        <v>-23</v>
      </c>
      <c r="Q28">
        <v>-115</v>
      </c>
      <c r="R28">
        <v>5</v>
      </c>
      <c r="S28">
        <v>25</v>
      </c>
      <c r="T28">
        <v>-23</v>
      </c>
      <c r="U28">
        <v>-115</v>
      </c>
      <c r="V28">
        <v>5</v>
      </c>
      <c r="W28">
        <v>25</v>
      </c>
    </row>
    <row r="29" spans="1:23" x14ac:dyDescent="0.4">
      <c r="A29" s="57" t="s">
        <v>164</v>
      </c>
      <c r="B29" s="60">
        <f>VLOOKUP(A29,L:N,3,FALSE)</f>
        <v>11</v>
      </c>
      <c r="C29" s="56"/>
      <c r="D29" s="57"/>
      <c r="E29" s="61" t="s">
        <v>240</v>
      </c>
      <c r="F29" s="62">
        <v>0</v>
      </c>
      <c r="G29" s="62">
        <v>0</v>
      </c>
      <c r="H29" s="62">
        <v>0</v>
      </c>
      <c r="L29" t="s">
        <v>369</v>
      </c>
      <c r="M29">
        <v>48.9</v>
      </c>
      <c r="N29">
        <v>21</v>
      </c>
      <c r="O29" s="49">
        <v>1026900</v>
      </c>
      <c r="P29">
        <v>47</v>
      </c>
      <c r="Q29">
        <v>987</v>
      </c>
      <c r="R29">
        <v>1.9</v>
      </c>
      <c r="S29">
        <v>39.9</v>
      </c>
      <c r="T29">
        <v>47</v>
      </c>
      <c r="U29">
        <v>987</v>
      </c>
      <c r="V29">
        <v>1.9</v>
      </c>
      <c r="W29">
        <v>39.9</v>
      </c>
    </row>
    <row r="30" spans="1:23" x14ac:dyDescent="0.4">
      <c r="A30" s="57" t="s">
        <v>165</v>
      </c>
      <c r="B30" s="60">
        <f>VLOOKUP(A30,L:N,3,FALSE)</f>
        <v>6</v>
      </c>
      <c r="C30" s="56"/>
      <c r="D30" s="57"/>
      <c r="E30" s="61" t="s">
        <v>241</v>
      </c>
      <c r="F30" s="62">
        <v>0</v>
      </c>
      <c r="G30" s="62">
        <v>0</v>
      </c>
      <c r="H30" s="62">
        <v>0</v>
      </c>
      <c r="L30" t="s">
        <v>370</v>
      </c>
      <c r="M30">
        <v>-30</v>
      </c>
      <c r="N30">
        <v>2</v>
      </c>
      <c r="O30" s="49">
        <v>-60000</v>
      </c>
      <c r="P30">
        <v>-33</v>
      </c>
      <c r="Q30">
        <v>-66</v>
      </c>
      <c r="R30">
        <v>3</v>
      </c>
      <c r="S30">
        <v>6</v>
      </c>
      <c r="T30">
        <v>-33</v>
      </c>
      <c r="U30">
        <v>-66</v>
      </c>
      <c r="V30">
        <v>3</v>
      </c>
      <c r="W30">
        <v>6</v>
      </c>
    </row>
    <row r="31" spans="1:23" x14ac:dyDescent="0.4">
      <c r="A31" s="57" t="s">
        <v>92</v>
      </c>
      <c r="B31" s="60">
        <f>VLOOKUP(A31,L:N,3,FALSE)</f>
        <v>58</v>
      </c>
      <c r="C31" s="56"/>
      <c r="D31" s="57"/>
      <c r="E31" s="61" t="s">
        <v>242</v>
      </c>
      <c r="F31" s="62">
        <v>0</v>
      </c>
      <c r="G31" s="62">
        <v>0</v>
      </c>
      <c r="H31" s="62">
        <v>0</v>
      </c>
      <c r="L31" t="s">
        <v>371</v>
      </c>
      <c r="M31">
        <v>69.3</v>
      </c>
      <c r="N31">
        <v>4</v>
      </c>
      <c r="O31" s="49">
        <v>277200</v>
      </c>
      <c r="P31">
        <v>67</v>
      </c>
      <c r="Q31">
        <v>268</v>
      </c>
      <c r="R31">
        <v>2.2999999999999998</v>
      </c>
      <c r="S31">
        <v>9.1999999999999993</v>
      </c>
      <c r="T31">
        <v>67</v>
      </c>
      <c r="U31">
        <v>268</v>
      </c>
      <c r="V31">
        <v>2.2999999999999998</v>
      </c>
      <c r="W31">
        <v>9.1999999999999993</v>
      </c>
    </row>
    <row r="32" spans="1:23" x14ac:dyDescent="0.4">
      <c r="A32" s="57" t="s">
        <v>93</v>
      </c>
      <c r="B32" s="60">
        <f>VLOOKUP(A32,L:N,3,FALSE)</f>
        <v>12</v>
      </c>
      <c r="C32" s="56"/>
      <c r="D32" s="57"/>
      <c r="E32" s="61" t="s">
        <v>311</v>
      </c>
      <c r="F32" s="62">
        <v>455000</v>
      </c>
      <c r="G32" s="62">
        <v>489025</v>
      </c>
      <c r="H32" s="62">
        <v>944025</v>
      </c>
      <c r="L32" t="s">
        <v>372</v>
      </c>
      <c r="M32">
        <v>0.8</v>
      </c>
      <c r="N32">
        <v>7</v>
      </c>
      <c r="O32" s="49">
        <v>5600</v>
      </c>
      <c r="P32">
        <v>0</v>
      </c>
      <c r="Q32">
        <v>0</v>
      </c>
      <c r="R32">
        <v>0.8</v>
      </c>
      <c r="S32">
        <v>5.6</v>
      </c>
      <c r="T32">
        <v>0</v>
      </c>
      <c r="U32">
        <v>0</v>
      </c>
      <c r="V32">
        <v>0.8</v>
      </c>
      <c r="W32">
        <v>5.6</v>
      </c>
    </row>
    <row r="33" spans="1:23" x14ac:dyDescent="0.4">
      <c r="A33" s="57" t="s">
        <v>94</v>
      </c>
      <c r="B33" s="60">
        <f>VLOOKUP(A33,L:N,3,FALSE)</f>
        <v>11</v>
      </c>
      <c r="C33" s="56"/>
      <c r="D33" s="57"/>
      <c r="E33" s="61" t="s">
        <v>312</v>
      </c>
      <c r="F33" s="62">
        <v>0</v>
      </c>
      <c r="G33" s="62">
        <v>0</v>
      </c>
      <c r="H33" s="62">
        <v>0</v>
      </c>
      <c r="L33" t="s">
        <v>373</v>
      </c>
    </row>
    <row r="34" spans="1:23" x14ac:dyDescent="0.4">
      <c r="A34" s="57" t="s">
        <v>95</v>
      </c>
      <c r="B34" s="60" t="e">
        <f>VLOOKUP(A34,L:N,3,FALSE)</f>
        <v>#N/A</v>
      </c>
      <c r="C34" s="56"/>
      <c r="D34" s="57"/>
      <c r="E34" s="61" t="s">
        <v>313</v>
      </c>
      <c r="F34" s="62">
        <v>9000</v>
      </c>
      <c r="G34" s="62">
        <v>600</v>
      </c>
      <c r="H34" s="62">
        <v>9600</v>
      </c>
      <c r="L34" t="s">
        <v>374</v>
      </c>
      <c r="M34">
        <v>13.6</v>
      </c>
      <c r="N34">
        <v>38</v>
      </c>
      <c r="O34" s="49">
        <v>516800</v>
      </c>
      <c r="P34">
        <v>13.6</v>
      </c>
      <c r="Q34">
        <v>516.79999999999995</v>
      </c>
      <c r="R34">
        <v>0</v>
      </c>
      <c r="S34">
        <v>0</v>
      </c>
      <c r="T34">
        <v>13.6</v>
      </c>
      <c r="U34">
        <v>516.79999999999995</v>
      </c>
      <c r="V34">
        <v>0</v>
      </c>
      <c r="W34">
        <v>0</v>
      </c>
    </row>
    <row r="35" spans="1:23" x14ac:dyDescent="0.4">
      <c r="A35" s="57" t="s">
        <v>96</v>
      </c>
      <c r="B35" s="60" t="e">
        <f>VLOOKUP(A35,L:N,3,FALSE)</f>
        <v>#N/A</v>
      </c>
      <c r="C35" s="56"/>
      <c r="D35" s="57"/>
      <c r="E35" s="61" t="s">
        <v>314</v>
      </c>
      <c r="F35" s="62">
        <v>0</v>
      </c>
      <c r="G35" s="62">
        <v>0</v>
      </c>
      <c r="H35" s="62">
        <v>0</v>
      </c>
      <c r="L35" t="s">
        <v>375</v>
      </c>
      <c r="M35">
        <v>6.8</v>
      </c>
      <c r="N35">
        <v>7</v>
      </c>
      <c r="O35" s="49">
        <v>47600</v>
      </c>
      <c r="P35">
        <v>6.8</v>
      </c>
      <c r="Q35">
        <v>47.6</v>
      </c>
      <c r="R35">
        <v>0</v>
      </c>
      <c r="S35">
        <v>0</v>
      </c>
      <c r="T35">
        <v>6.8</v>
      </c>
      <c r="U35">
        <v>47.6</v>
      </c>
      <c r="V35">
        <v>0</v>
      </c>
      <c r="W35">
        <v>0</v>
      </c>
    </row>
    <row r="36" spans="1:23" x14ac:dyDescent="0.4">
      <c r="A36" s="57" t="s">
        <v>97</v>
      </c>
      <c r="B36" s="60" t="e">
        <f>VLOOKUP(A36,L:N,3,FALSE)</f>
        <v>#N/A</v>
      </c>
      <c r="C36" s="56"/>
      <c r="D36" s="57"/>
      <c r="E36" s="61" t="s">
        <v>315</v>
      </c>
      <c r="F36" s="62">
        <v>0</v>
      </c>
      <c r="G36" s="62">
        <v>0</v>
      </c>
      <c r="H36" s="62">
        <v>0</v>
      </c>
      <c r="K36" t="s">
        <v>376</v>
      </c>
      <c r="O36" s="49">
        <v>1724100</v>
      </c>
      <c r="Q36">
        <v>1638.4</v>
      </c>
      <c r="S36">
        <v>85.7</v>
      </c>
      <c r="U36">
        <v>1638.4</v>
      </c>
      <c r="W36">
        <v>85.7</v>
      </c>
    </row>
    <row r="37" spans="1:23" x14ac:dyDescent="0.4">
      <c r="A37" s="56" t="s">
        <v>98</v>
      </c>
      <c r="B37" s="60" t="str">
        <f>IF(VLOOKUP(A37,E:H,4,FALSE)&gt;0, "有", "無")</f>
        <v>無</v>
      </c>
      <c r="C37" s="56"/>
      <c r="D37" s="57"/>
      <c r="E37" s="61" t="s">
        <v>316</v>
      </c>
      <c r="F37" s="62">
        <v>0</v>
      </c>
      <c r="G37" s="62">
        <v>0</v>
      </c>
      <c r="H37" s="62">
        <v>0</v>
      </c>
      <c r="K37" t="s">
        <v>377</v>
      </c>
    </row>
    <row r="38" spans="1:23" x14ac:dyDescent="0.4">
      <c r="A38" s="56" t="s">
        <v>99</v>
      </c>
      <c r="B38" s="60" t="str">
        <f>IF(VLOOKUP(A38,E:H,4,FALSE)&gt;0, "有", "無")</f>
        <v>無</v>
      </c>
      <c r="C38" s="56"/>
      <c r="D38" s="57"/>
      <c r="E38" s="61" t="s">
        <v>317</v>
      </c>
      <c r="F38" s="62">
        <v>1286800</v>
      </c>
      <c r="G38" s="62">
        <v>567810</v>
      </c>
      <c r="H38" s="62">
        <v>1854610</v>
      </c>
      <c r="K38" t="s">
        <v>378</v>
      </c>
      <c r="O38" s="49">
        <v>0</v>
      </c>
      <c r="Q38">
        <v>0</v>
      </c>
      <c r="S38">
        <v>0</v>
      </c>
      <c r="U38">
        <v>0</v>
      </c>
      <c r="W38">
        <v>0</v>
      </c>
    </row>
    <row r="39" spans="1:23" x14ac:dyDescent="0.4">
      <c r="A39" s="56" t="s">
        <v>100</v>
      </c>
      <c r="B39" s="60" t="str">
        <f>IF(VLOOKUP(A39,E:H,4,FALSE)&gt;0, "有", "無")</f>
        <v>有</v>
      </c>
      <c r="C39" s="56"/>
      <c r="D39" s="57"/>
      <c r="E39" s="61" t="s">
        <v>318</v>
      </c>
      <c r="F39" s="62">
        <v>611000</v>
      </c>
      <c r="G39" s="62">
        <v>175700</v>
      </c>
      <c r="H39" s="62">
        <v>786700</v>
      </c>
      <c r="J39" t="s">
        <v>74</v>
      </c>
    </row>
    <row r="40" spans="1:23" x14ac:dyDescent="0.4">
      <c r="A40" s="56" t="s">
        <v>101</v>
      </c>
      <c r="B40" s="60" t="str">
        <f>IF(VLOOKUP(A40,E:H,4,FALSE)&gt;0, "有", "無")</f>
        <v>無</v>
      </c>
      <c r="C40" s="56"/>
      <c r="D40" s="57"/>
      <c r="E40" s="61" t="s">
        <v>244</v>
      </c>
      <c r="F40" s="62">
        <v>1002200</v>
      </c>
      <c r="G40" s="62">
        <v>72600</v>
      </c>
      <c r="H40" s="62">
        <v>1074800</v>
      </c>
      <c r="K40" t="s">
        <v>308</v>
      </c>
    </row>
    <row r="41" spans="1:23" x14ac:dyDescent="0.4">
      <c r="A41" s="56"/>
      <c r="B41" s="60"/>
      <c r="C41" s="56"/>
      <c r="D41" s="57"/>
      <c r="E41" s="61" t="s">
        <v>245</v>
      </c>
      <c r="F41" s="62">
        <v>8000</v>
      </c>
      <c r="G41" s="62">
        <v>2800</v>
      </c>
      <c r="H41" s="62">
        <v>10800</v>
      </c>
      <c r="L41" t="s">
        <v>379</v>
      </c>
    </row>
    <row r="42" spans="1:23" x14ac:dyDescent="0.4">
      <c r="A42" s="56"/>
      <c r="B42" s="60"/>
      <c r="C42" s="56"/>
      <c r="D42" s="57"/>
      <c r="E42" s="61" t="s">
        <v>246</v>
      </c>
      <c r="F42" s="62">
        <v>210000</v>
      </c>
      <c r="G42" s="62">
        <v>31500</v>
      </c>
      <c r="H42" s="62">
        <v>241500</v>
      </c>
      <c r="L42" t="s">
        <v>859</v>
      </c>
      <c r="M42">
        <v>54.5</v>
      </c>
      <c r="N42">
        <v>58</v>
      </c>
      <c r="O42" s="49">
        <v>3161000</v>
      </c>
      <c r="P42">
        <v>54.5</v>
      </c>
      <c r="Q42">
        <v>3161</v>
      </c>
      <c r="R42">
        <v>0</v>
      </c>
      <c r="S42">
        <v>0</v>
      </c>
      <c r="T42">
        <v>54.5</v>
      </c>
      <c r="U42">
        <v>3161</v>
      </c>
      <c r="V42">
        <v>0</v>
      </c>
      <c r="W42">
        <v>0</v>
      </c>
    </row>
    <row r="43" spans="1:23" x14ac:dyDescent="0.4">
      <c r="A43" s="56"/>
      <c r="B43" s="60"/>
      <c r="C43" s="56"/>
      <c r="D43" s="57"/>
      <c r="E43" s="61" t="s">
        <v>247</v>
      </c>
      <c r="F43" s="62">
        <v>0</v>
      </c>
      <c r="G43" s="62">
        <v>0</v>
      </c>
      <c r="H43" s="62">
        <v>0</v>
      </c>
      <c r="L43" t="s">
        <v>860</v>
      </c>
      <c r="M43">
        <v>27.2</v>
      </c>
      <c r="N43">
        <v>12</v>
      </c>
      <c r="O43" s="49">
        <v>326400</v>
      </c>
      <c r="P43">
        <v>27.2</v>
      </c>
      <c r="Q43">
        <v>326.39999999999998</v>
      </c>
      <c r="R43">
        <v>0</v>
      </c>
      <c r="S43">
        <v>0</v>
      </c>
      <c r="T43">
        <v>27.2</v>
      </c>
      <c r="U43">
        <v>326.39999999999998</v>
      </c>
      <c r="V43">
        <v>0</v>
      </c>
      <c r="W43">
        <v>0</v>
      </c>
    </row>
    <row r="44" spans="1:23" x14ac:dyDescent="0.4">
      <c r="A44" s="56"/>
      <c r="B44" s="60"/>
      <c r="C44" s="56"/>
      <c r="D44" s="57"/>
      <c r="E44" s="61" t="s">
        <v>248</v>
      </c>
      <c r="F44" s="62">
        <v>0</v>
      </c>
      <c r="G44" s="62">
        <v>0</v>
      </c>
      <c r="H44" s="62">
        <v>0</v>
      </c>
      <c r="L44" t="s">
        <v>861</v>
      </c>
      <c r="M44">
        <v>16.5</v>
      </c>
      <c r="N44">
        <v>11</v>
      </c>
      <c r="O44" s="49">
        <v>181500</v>
      </c>
      <c r="P44">
        <v>16.5</v>
      </c>
      <c r="Q44">
        <v>181.5</v>
      </c>
      <c r="R44">
        <v>0</v>
      </c>
      <c r="S44">
        <v>0</v>
      </c>
      <c r="T44">
        <v>16.5</v>
      </c>
      <c r="U44">
        <v>181.5</v>
      </c>
      <c r="V44">
        <v>0</v>
      </c>
      <c r="W44">
        <v>0</v>
      </c>
    </row>
    <row r="45" spans="1:23" x14ac:dyDescent="0.4">
      <c r="A45" s="56"/>
      <c r="B45" s="60"/>
      <c r="C45" s="56"/>
      <c r="D45" s="57"/>
      <c r="E45" s="61" t="s">
        <v>249</v>
      </c>
      <c r="F45" s="62">
        <v>0</v>
      </c>
      <c r="G45" s="62">
        <v>270100</v>
      </c>
      <c r="H45" s="62">
        <v>270100</v>
      </c>
      <c r="K45" t="s">
        <v>380</v>
      </c>
      <c r="O45" s="49">
        <v>3668900</v>
      </c>
      <c r="Q45">
        <v>3668.9</v>
      </c>
      <c r="S45">
        <v>0</v>
      </c>
      <c r="U45">
        <v>3668.9</v>
      </c>
      <c r="W45">
        <v>0</v>
      </c>
    </row>
    <row r="46" spans="1:23" x14ac:dyDescent="0.4">
      <c r="A46" s="56"/>
      <c r="B46" s="60"/>
      <c r="C46" s="56"/>
      <c r="D46" s="57"/>
      <c r="E46" s="61" t="s">
        <v>250</v>
      </c>
      <c r="F46" s="62">
        <v>1788900</v>
      </c>
      <c r="G46" s="62">
        <v>891116</v>
      </c>
      <c r="H46" s="62">
        <v>2680016</v>
      </c>
      <c r="K46" t="s">
        <v>381</v>
      </c>
    </row>
    <row r="47" spans="1:23" x14ac:dyDescent="0.4">
      <c r="A47" s="56"/>
      <c r="B47" s="60"/>
      <c r="C47" s="56"/>
      <c r="D47" s="57"/>
      <c r="E47" s="61" t="s">
        <v>251</v>
      </c>
      <c r="F47" s="62">
        <v>1073800</v>
      </c>
      <c r="G47" s="62">
        <v>456600</v>
      </c>
      <c r="H47" s="62">
        <v>1530400</v>
      </c>
      <c r="L47" t="s">
        <v>382</v>
      </c>
    </row>
    <row r="48" spans="1:23" x14ac:dyDescent="0.4">
      <c r="A48" s="56"/>
      <c r="B48" s="60"/>
      <c r="C48" s="56"/>
      <c r="D48" s="57"/>
      <c r="E48" s="61" t="s">
        <v>319</v>
      </c>
      <c r="F48" s="62">
        <v>0</v>
      </c>
      <c r="G48" s="62">
        <v>728600</v>
      </c>
      <c r="H48" s="62">
        <v>728600</v>
      </c>
      <c r="L48" t="s">
        <v>862</v>
      </c>
      <c r="M48">
        <v>208.7</v>
      </c>
      <c r="N48">
        <v>1</v>
      </c>
      <c r="O48" s="49">
        <v>208700</v>
      </c>
      <c r="P48">
        <v>208</v>
      </c>
      <c r="Q48">
        <v>208</v>
      </c>
      <c r="R48">
        <v>0.7</v>
      </c>
      <c r="S48">
        <v>0.7</v>
      </c>
      <c r="T48">
        <v>240</v>
      </c>
      <c r="U48">
        <v>240</v>
      </c>
      <c r="V48">
        <v>0.7</v>
      </c>
      <c r="W48">
        <v>0.7</v>
      </c>
    </row>
    <row r="49" spans="1:23" x14ac:dyDescent="0.4">
      <c r="A49" s="56"/>
      <c r="B49" s="60"/>
      <c r="C49" s="56"/>
      <c r="D49" s="57"/>
      <c r="E49" s="61" t="s">
        <v>320</v>
      </c>
      <c r="F49" s="62">
        <v>21000</v>
      </c>
      <c r="G49" s="62">
        <v>3600</v>
      </c>
      <c r="H49" s="62">
        <v>24600</v>
      </c>
      <c r="L49" t="s">
        <v>756</v>
      </c>
      <c r="M49">
        <v>168.5</v>
      </c>
      <c r="N49">
        <v>1</v>
      </c>
      <c r="O49" s="49">
        <v>168500</v>
      </c>
      <c r="P49">
        <v>168</v>
      </c>
      <c r="Q49">
        <v>168</v>
      </c>
      <c r="R49">
        <v>0.5</v>
      </c>
      <c r="S49">
        <v>0.5</v>
      </c>
      <c r="T49">
        <v>182</v>
      </c>
      <c r="U49">
        <v>182</v>
      </c>
      <c r="V49">
        <v>0.5</v>
      </c>
      <c r="W49">
        <v>0.5</v>
      </c>
    </row>
    <row r="50" spans="1:23" x14ac:dyDescent="0.4">
      <c r="A50" s="56"/>
      <c r="B50" s="60"/>
      <c r="C50" s="56"/>
      <c r="D50" s="57"/>
      <c r="E50" s="61" t="s">
        <v>321</v>
      </c>
      <c r="F50" s="62">
        <v>0</v>
      </c>
      <c r="G50" s="62">
        <v>0</v>
      </c>
      <c r="H50" s="62">
        <v>0</v>
      </c>
      <c r="L50" t="s">
        <v>383</v>
      </c>
      <c r="M50">
        <v>40.4</v>
      </c>
      <c r="N50">
        <v>3</v>
      </c>
      <c r="O50" s="49">
        <v>121200</v>
      </c>
      <c r="P50">
        <v>39.5</v>
      </c>
      <c r="Q50">
        <v>118.5</v>
      </c>
      <c r="R50">
        <v>0.9</v>
      </c>
      <c r="S50">
        <v>2.7</v>
      </c>
      <c r="T50">
        <v>47.5</v>
      </c>
      <c r="U50">
        <v>142.5</v>
      </c>
      <c r="V50">
        <v>0.9</v>
      </c>
      <c r="W50">
        <v>2.7</v>
      </c>
    </row>
    <row r="51" spans="1:23" x14ac:dyDescent="0.4">
      <c r="A51" s="56"/>
      <c r="B51" s="60"/>
      <c r="C51" s="56"/>
      <c r="D51" s="57"/>
      <c r="E51" s="61" t="s">
        <v>322</v>
      </c>
      <c r="F51" s="62">
        <v>977300</v>
      </c>
      <c r="G51" s="62">
        <v>478300</v>
      </c>
      <c r="H51" s="62">
        <v>1455600</v>
      </c>
      <c r="L51" t="s">
        <v>863</v>
      </c>
      <c r="M51">
        <v>49.4</v>
      </c>
      <c r="N51">
        <v>1</v>
      </c>
      <c r="O51" s="49">
        <v>49400</v>
      </c>
      <c r="P51">
        <v>48.5</v>
      </c>
      <c r="Q51">
        <v>48.5</v>
      </c>
      <c r="R51">
        <v>0.9</v>
      </c>
      <c r="S51">
        <v>0.9</v>
      </c>
      <c r="T51">
        <v>52.5</v>
      </c>
      <c r="U51">
        <v>52.5</v>
      </c>
      <c r="V51">
        <v>0.9</v>
      </c>
      <c r="W51">
        <v>0.9</v>
      </c>
    </row>
    <row r="52" spans="1:23" x14ac:dyDescent="0.4">
      <c r="A52" s="56"/>
      <c r="B52" s="60"/>
      <c r="C52" s="56"/>
      <c r="D52" s="57"/>
      <c r="E52" s="61" t="s">
        <v>323</v>
      </c>
      <c r="F52" s="62">
        <v>0</v>
      </c>
      <c r="G52" s="62">
        <v>0</v>
      </c>
      <c r="H52" s="62">
        <v>0</v>
      </c>
      <c r="L52" t="s">
        <v>864</v>
      </c>
      <c r="M52">
        <v>99.4</v>
      </c>
      <c r="N52">
        <v>1</v>
      </c>
      <c r="O52" s="49">
        <v>99400</v>
      </c>
      <c r="P52">
        <v>98.5</v>
      </c>
      <c r="Q52">
        <v>98.5</v>
      </c>
      <c r="R52">
        <v>0.9</v>
      </c>
      <c r="S52">
        <v>0.9</v>
      </c>
      <c r="T52">
        <v>121.5</v>
      </c>
      <c r="U52">
        <v>121.5</v>
      </c>
      <c r="V52">
        <v>0.9</v>
      </c>
      <c r="W52">
        <v>0.9</v>
      </c>
    </row>
    <row r="53" spans="1:23" x14ac:dyDescent="0.4">
      <c r="A53" s="56"/>
      <c r="B53" s="60"/>
      <c r="C53" s="56"/>
      <c r="D53" s="57"/>
      <c r="E53" s="61" t="s">
        <v>324</v>
      </c>
      <c r="F53" s="62">
        <v>0</v>
      </c>
      <c r="G53" s="62">
        <v>0</v>
      </c>
      <c r="H53" s="62">
        <v>0</v>
      </c>
      <c r="L53" t="s">
        <v>865</v>
      </c>
      <c r="M53">
        <v>82</v>
      </c>
      <c r="N53">
        <v>1</v>
      </c>
      <c r="O53" s="49">
        <v>82000</v>
      </c>
      <c r="P53">
        <v>82</v>
      </c>
      <c r="Q53">
        <v>82</v>
      </c>
      <c r="R53">
        <v>0</v>
      </c>
      <c r="S53">
        <v>0</v>
      </c>
      <c r="T53">
        <v>84</v>
      </c>
      <c r="U53">
        <v>84</v>
      </c>
      <c r="V53">
        <v>0</v>
      </c>
      <c r="W53">
        <v>0</v>
      </c>
    </row>
    <row r="54" spans="1:23" x14ac:dyDescent="0.4">
      <c r="A54" s="56"/>
      <c r="B54" s="60"/>
      <c r="C54" s="56"/>
      <c r="D54" s="57"/>
      <c r="E54" s="61" t="s">
        <v>325</v>
      </c>
      <c r="F54" s="62">
        <v>0</v>
      </c>
      <c r="G54" s="62">
        <v>0</v>
      </c>
      <c r="H54" s="62">
        <v>0</v>
      </c>
      <c r="L54" t="s">
        <v>866</v>
      </c>
      <c r="M54">
        <v>101</v>
      </c>
      <c r="N54">
        <v>1</v>
      </c>
      <c r="O54" s="49">
        <v>101000</v>
      </c>
      <c r="P54">
        <v>101</v>
      </c>
      <c r="Q54">
        <v>101</v>
      </c>
      <c r="R54">
        <v>0</v>
      </c>
      <c r="S54">
        <v>0</v>
      </c>
      <c r="T54">
        <v>106</v>
      </c>
      <c r="U54">
        <v>106</v>
      </c>
      <c r="V54">
        <v>0</v>
      </c>
      <c r="W54">
        <v>0</v>
      </c>
    </row>
    <row r="55" spans="1:23" x14ac:dyDescent="0.4">
      <c r="A55" s="56"/>
      <c r="B55" s="60"/>
      <c r="C55" s="56"/>
      <c r="D55" s="57"/>
      <c r="E55" s="61" t="s">
        <v>326</v>
      </c>
      <c r="F55" s="62">
        <v>0</v>
      </c>
      <c r="G55" s="62">
        <v>0</v>
      </c>
      <c r="H55" s="62">
        <v>0</v>
      </c>
      <c r="L55" t="s">
        <v>867</v>
      </c>
      <c r="M55">
        <v>55</v>
      </c>
      <c r="N55">
        <v>2</v>
      </c>
      <c r="O55" s="49">
        <v>110000</v>
      </c>
      <c r="P55">
        <v>55</v>
      </c>
      <c r="Q55">
        <v>110</v>
      </c>
      <c r="R55">
        <v>0</v>
      </c>
      <c r="S55">
        <v>0</v>
      </c>
      <c r="T55">
        <v>55</v>
      </c>
      <c r="U55">
        <v>110</v>
      </c>
      <c r="V55">
        <v>0</v>
      </c>
      <c r="W55">
        <v>0</v>
      </c>
    </row>
    <row r="56" spans="1:23" x14ac:dyDescent="0.4">
      <c r="A56" s="56"/>
      <c r="B56" s="60"/>
      <c r="C56" s="56"/>
      <c r="D56" s="57"/>
      <c r="E56" s="61" t="s">
        <v>327</v>
      </c>
      <c r="F56" s="62">
        <v>217400</v>
      </c>
      <c r="G56" s="62">
        <v>74600</v>
      </c>
      <c r="H56" s="62">
        <v>292000</v>
      </c>
      <c r="L56" t="s">
        <v>868</v>
      </c>
      <c r="M56">
        <v>132.5</v>
      </c>
      <c r="N56">
        <v>1</v>
      </c>
      <c r="O56" s="49">
        <v>132500</v>
      </c>
      <c r="P56">
        <v>132.5</v>
      </c>
      <c r="Q56">
        <v>132.5</v>
      </c>
      <c r="R56">
        <v>0</v>
      </c>
      <c r="S56">
        <v>0</v>
      </c>
      <c r="T56">
        <v>138.5</v>
      </c>
      <c r="U56">
        <v>138.5</v>
      </c>
      <c r="V56">
        <v>0</v>
      </c>
      <c r="W56">
        <v>0</v>
      </c>
    </row>
    <row r="57" spans="1:23" x14ac:dyDescent="0.4">
      <c r="A57" s="56"/>
      <c r="B57" s="60"/>
      <c r="C57" s="56"/>
      <c r="D57" s="57"/>
      <c r="E57" s="61" t="s">
        <v>328</v>
      </c>
      <c r="F57" s="62">
        <v>507700</v>
      </c>
      <c r="G57" s="62">
        <v>253400</v>
      </c>
      <c r="H57" s="62">
        <v>761100</v>
      </c>
      <c r="L57" t="s">
        <v>384</v>
      </c>
      <c r="M57">
        <v>92</v>
      </c>
      <c r="N57">
        <v>1</v>
      </c>
      <c r="O57" s="49">
        <v>92000</v>
      </c>
      <c r="P57">
        <v>92</v>
      </c>
      <c r="Q57">
        <v>92</v>
      </c>
      <c r="R57">
        <v>0</v>
      </c>
      <c r="S57">
        <v>0</v>
      </c>
      <c r="T57">
        <v>102</v>
      </c>
      <c r="U57">
        <v>102</v>
      </c>
      <c r="V57">
        <v>0</v>
      </c>
      <c r="W57">
        <v>0</v>
      </c>
    </row>
    <row r="58" spans="1:23" x14ac:dyDescent="0.4">
      <c r="A58" s="56"/>
      <c r="B58" s="60"/>
      <c r="C58" s="56"/>
      <c r="D58" s="57"/>
      <c r="E58" s="61" t="s">
        <v>329</v>
      </c>
      <c r="F58" s="62">
        <v>0</v>
      </c>
      <c r="G58" s="62">
        <v>0</v>
      </c>
      <c r="H58" s="62">
        <v>0</v>
      </c>
      <c r="L58" t="s">
        <v>831</v>
      </c>
    </row>
    <row r="59" spans="1:23" x14ac:dyDescent="0.4">
      <c r="A59" s="56"/>
      <c r="B59" s="60"/>
      <c r="C59" s="56"/>
      <c r="D59" s="57"/>
      <c r="E59" s="61" t="s">
        <v>330</v>
      </c>
      <c r="F59" s="62">
        <v>0</v>
      </c>
      <c r="G59" s="62">
        <v>0</v>
      </c>
      <c r="H59" s="62">
        <v>0</v>
      </c>
      <c r="L59" t="s">
        <v>869</v>
      </c>
      <c r="M59">
        <v>20</v>
      </c>
      <c r="N59">
        <v>1</v>
      </c>
      <c r="O59" s="49">
        <v>20000</v>
      </c>
      <c r="P59">
        <v>15.9</v>
      </c>
      <c r="Q59">
        <v>15.9</v>
      </c>
      <c r="R59">
        <v>4.0999999999999996</v>
      </c>
      <c r="S59">
        <v>4.0999999999999996</v>
      </c>
      <c r="T59">
        <v>15.9</v>
      </c>
      <c r="U59">
        <v>15.9</v>
      </c>
      <c r="V59">
        <v>4.0999999999999996</v>
      </c>
      <c r="W59">
        <v>4.0999999999999996</v>
      </c>
    </row>
    <row r="60" spans="1:23" x14ac:dyDescent="0.4">
      <c r="A60" s="56"/>
      <c r="B60" s="60"/>
      <c r="C60" s="56"/>
      <c r="D60" s="57"/>
      <c r="E60" s="61" t="s">
        <v>331</v>
      </c>
      <c r="F60" s="62">
        <v>0</v>
      </c>
      <c r="G60" s="62">
        <v>0</v>
      </c>
      <c r="H60" s="62">
        <v>0</v>
      </c>
      <c r="L60" t="s">
        <v>385</v>
      </c>
    </row>
    <row r="61" spans="1:23" x14ac:dyDescent="0.4">
      <c r="A61" s="56"/>
      <c r="B61" s="60"/>
      <c r="C61" s="56"/>
      <c r="D61" s="57"/>
      <c r="E61" s="61" t="s">
        <v>332</v>
      </c>
      <c r="F61" s="62">
        <v>0</v>
      </c>
      <c r="G61" s="62">
        <v>0</v>
      </c>
      <c r="H61" s="62">
        <v>0</v>
      </c>
      <c r="L61" t="s">
        <v>386</v>
      </c>
      <c r="M61">
        <v>4.0999999999999996</v>
      </c>
      <c r="N61">
        <v>1</v>
      </c>
      <c r="O61" s="49">
        <v>4100</v>
      </c>
      <c r="P61">
        <v>4.0999999999999996</v>
      </c>
      <c r="Q61">
        <v>4.0999999999999996</v>
      </c>
      <c r="R61">
        <v>0</v>
      </c>
      <c r="S61">
        <v>0</v>
      </c>
      <c r="T61">
        <v>4.0999999999999996</v>
      </c>
      <c r="U61">
        <v>4.0999999999999996</v>
      </c>
      <c r="V61">
        <v>0</v>
      </c>
      <c r="W61">
        <v>0</v>
      </c>
    </row>
    <row r="62" spans="1:23" x14ac:dyDescent="0.4">
      <c r="A62" s="56"/>
      <c r="B62" s="60"/>
      <c r="C62" s="56"/>
      <c r="D62" s="57"/>
      <c r="E62" s="61" t="s">
        <v>333</v>
      </c>
      <c r="F62" s="62">
        <v>0</v>
      </c>
      <c r="G62" s="62">
        <v>0</v>
      </c>
      <c r="H62" s="62">
        <v>0</v>
      </c>
      <c r="L62" t="s">
        <v>387</v>
      </c>
    </row>
    <row r="63" spans="1:23" x14ac:dyDescent="0.4">
      <c r="A63" s="56"/>
      <c r="B63" s="60"/>
      <c r="C63" s="56"/>
      <c r="D63" s="57"/>
      <c r="E63" s="61" t="s">
        <v>252</v>
      </c>
      <c r="F63" s="62">
        <v>0</v>
      </c>
      <c r="G63" s="62">
        <v>0</v>
      </c>
      <c r="H63" s="62">
        <v>0</v>
      </c>
      <c r="L63" t="s">
        <v>388</v>
      </c>
      <c r="M63">
        <v>0.6</v>
      </c>
      <c r="N63">
        <v>6</v>
      </c>
      <c r="O63" s="49">
        <v>3600</v>
      </c>
      <c r="P63">
        <v>0</v>
      </c>
      <c r="Q63">
        <v>0</v>
      </c>
      <c r="R63">
        <v>0.6</v>
      </c>
      <c r="S63">
        <v>3.6</v>
      </c>
      <c r="T63">
        <v>0</v>
      </c>
      <c r="U63">
        <v>0</v>
      </c>
      <c r="V63">
        <v>0.6</v>
      </c>
      <c r="W63">
        <v>3.6</v>
      </c>
    </row>
    <row r="64" spans="1:23" x14ac:dyDescent="0.4">
      <c r="A64" s="56"/>
      <c r="B64" s="60"/>
      <c r="C64" s="56"/>
      <c r="D64" s="57"/>
      <c r="E64" s="61" t="s">
        <v>253</v>
      </c>
      <c r="F64" s="62">
        <v>0</v>
      </c>
      <c r="G64" s="62">
        <v>0</v>
      </c>
      <c r="H64" s="62">
        <v>0</v>
      </c>
      <c r="K64" t="s">
        <v>389</v>
      </c>
      <c r="O64" s="49">
        <v>1192400</v>
      </c>
      <c r="Q64">
        <v>1179</v>
      </c>
      <c r="S64">
        <v>13.4</v>
      </c>
      <c r="U64">
        <v>1299</v>
      </c>
      <c r="W64">
        <v>13.4</v>
      </c>
    </row>
    <row r="65" spans="1:23" x14ac:dyDescent="0.4">
      <c r="A65" s="56"/>
      <c r="B65" s="60"/>
      <c r="C65" s="56"/>
      <c r="D65" s="57"/>
      <c r="E65" s="61" t="s">
        <v>254</v>
      </c>
      <c r="F65" s="62">
        <v>0</v>
      </c>
      <c r="G65" s="62">
        <v>0</v>
      </c>
      <c r="H65" s="62">
        <v>0</v>
      </c>
      <c r="K65" t="s">
        <v>390</v>
      </c>
    </row>
    <row r="66" spans="1:23" x14ac:dyDescent="0.4">
      <c r="A66" s="56"/>
      <c r="B66" s="60"/>
      <c r="C66" s="56"/>
      <c r="D66" s="57"/>
      <c r="E66" s="61" t="s">
        <v>255</v>
      </c>
      <c r="F66" s="62">
        <v>31000</v>
      </c>
      <c r="G66" s="62">
        <v>2075679.9999999998</v>
      </c>
      <c r="H66" s="62">
        <v>2106680</v>
      </c>
      <c r="K66" t="s">
        <v>391</v>
      </c>
      <c r="O66" s="49">
        <v>0</v>
      </c>
      <c r="Q66">
        <v>0</v>
      </c>
      <c r="S66">
        <v>0</v>
      </c>
      <c r="U66">
        <v>0</v>
      </c>
      <c r="W66">
        <v>0</v>
      </c>
    </row>
    <row r="67" spans="1:23" x14ac:dyDescent="0.4">
      <c r="A67" s="56"/>
      <c r="B67" s="60"/>
      <c r="C67" s="56"/>
      <c r="D67" s="57"/>
      <c r="E67" s="61" t="s">
        <v>256</v>
      </c>
      <c r="F67" s="62">
        <v>0</v>
      </c>
      <c r="G67" s="62">
        <v>0</v>
      </c>
      <c r="H67" s="62">
        <v>0</v>
      </c>
      <c r="K67" t="s">
        <v>392</v>
      </c>
    </row>
    <row r="68" spans="1:23" x14ac:dyDescent="0.4">
      <c r="A68" s="56"/>
      <c r="B68" s="60"/>
      <c r="C68" s="56"/>
      <c r="D68" s="57"/>
      <c r="E68" s="61" t="s">
        <v>257</v>
      </c>
      <c r="F68" s="62">
        <v>17400</v>
      </c>
      <c r="G68" s="62">
        <v>1076300</v>
      </c>
      <c r="H68" s="62">
        <v>1093700</v>
      </c>
      <c r="K68" t="s">
        <v>393</v>
      </c>
      <c r="O68" s="49">
        <v>0</v>
      </c>
      <c r="Q68">
        <v>0</v>
      </c>
      <c r="S68">
        <v>0</v>
      </c>
      <c r="U68">
        <v>0</v>
      </c>
      <c r="W68">
        <v>0</v>
      </c>
    </row>
    <row r="69" spans="1:23" x14ac:dyDescent="0.4">
      <c r="A69" s="56"/>
      <c r="B69" s="60"/>
      <c r="C69" s="56"/>
      <c r="D69" s="57"/>
      <c r="E69" s="61" t="s">
        <v>258</v>
      </c>
      <c r="F69" s="62">
        <v>0</v>
      </c>
      <c r="G69" s="62">
        <v>225900</v>
      </c>
      <c r="H69" s="62">
        <v>225900</v>
      </c>
      <c r="K69" t="s">
        <v>394</v>
      </c>
    </row>
    <row r="70" spans="1:23" x14ac:dyDescent="0.4">
      <c r="A70" s="56"/>
      <c r="B70" s="60"/>
      <c r="C70" s="56"/>
      <c r="D70" s="57"/>
      <c r="E70" s="61" t="s">
        <v>259</v>
      </c>
      <c r="F70" s="62">
        <v>0</v>
      </c>
      <c r="G70" s="62">
        <v>798100</v>
      </c>
      <c r="H70" s="62">
        <v>798100</v>
      </c>
      <c r="K70" t="s">
        <v>395</v>
      </c>
      <c r="O70" s="49">
        <v>0</v>
      </c>
      <c r="Q70">
        <v>0</v>
      </c>
      <c r="S70">
        <v>0</v>
      </c>
      <c r="U70">
        <v>0</v>
      </c>
      <c r="W70">
        <v>0</v>
      </c>
    </row>
    <row r="71" spans="1:23" x14ac:dyDescent="0.4">
      <c r="A71" s="56"/>
      <c r="B71" s="60"/>
      <c r="C71" s="56"/>
      <c r="D71" s="57"/>
      <c r="E71" s="61" t="s">
        <v>260</v>
      </c>
      <c r="F71" s="62">
        <v>0</v>
      </c>
      <c r="G71" s="62">
        <v>480000</v>
      </c>
      <c r="H71" s="62">
        <v>480000</v>
      </c>
      <c r="K71" t="s">
        <v>396</v>
      </c>
    </row>
    <row r="72" spans="1:23" x14ac:dyDescent="0.4">
      <c r="A72" s="56"/>
      <c r="B72" s="60"/>
      <c r="C72" s="56"/>
      <c r="D72" s="57"/>
      <c r="E72" s="61" t="s">
        <v>261</v>
      </c>
      <c r="F72" s="62">
        <v>0</v>
      </c>
      <c r="G72" s="62">
        <v>195000</v>
      </c>
      <c r="H72" s="62">
        <v>195000</v>
      </c>
      <c r="K72" t="s">
        <v>397</v>
      </c>
      <c r="O72" s="49">
        <v>0</v>
      </c>
      <c r="Q72">
        <v>0</v>
      </c>
      <c r="S72">
        <v>0</v>
      </c>
      <c r="U72">
        <v>0</v>
      </c>
      <c r="W72">
        <v>0</v>
      </c>
    </row>
    <row r="73" spans="1:23" x14ac:dyDescent="0.4">
      <c r="A73" s="56"/>
      <c r="B73" s="60"/>
      <c r="C73" s="56"/>
      <c r="D73" s="57"/>
      <c r="E73" s="61" t="s">
        <v>262</v>
      </c>
      <c r="F73" s="62">
        <v>0</v>
      </c>
      <c r="G73" s="62">
        <v>200000</v>
      </c>
      <c r="H73" s="62">
        <v>200000</v>
      </c>
      <c r="K73" t="s">
        <v>398</v>
      </c>
    </row>
    <row r="74" spans="1:23" x14ac:dyDescent="0.4">
      <c r="A74" s="56"/>
      <c r="B74" s="60"/>
      <c r="C74" s="56"/>
      <c r="D74" s="57"/>
      <c r="E74" s="61" t="s">
        <v>263</v>
      </c>
      <c r="F74" s="62">
        <v>0</v>
      </c>
      <c r="G74" s="62">
        <v>1620800</v>
      </c>
      <c r="H74" s="62">
        <v>1620800</v>
      </c>
      <c r="K74" t="s">
        <v>399</v>
      </c>
      <c r="O74" s="49">
        <v>0</v>
      </c>
      <c r="Q74">
        <v>0</v>
      </c>
      <c r="S74">
        <v>0</v>
      </c>
      <c r="U74">
        <v>0</v>
      </c>
      <c r="W74">
        <v>0</v>
      </c>
    </row>
    <row r="75" spans="1:23" x14ac:dyDescent="0.4">
      <c r="A75" s="56"/>
      <c r="B75" s="60"/>
      <c r="C75" s="56"/>
      <c r="D75" s="57"/>
      <c r="E75" s="61" t="s">
        <v>264</v>
      </c>
      <c r="F75" s="62">
        <v>0</v>
      </c>
      <c r="G75" s="62">
        <v>245000</v>
      </c>
      <c r="H75" s="62">
        <v>245000</v>
      </c>
      <c r="K75" t="s">
        <v>400</v>
      </c>
    </row>
    <row r="76" spans="1:23" x14ac:dyDescent="0.4">
      <c r="A76" s="56"/>
      <c r="B76" s="60"/>
      <c r="C76" s="56"/>
      <c r="D76" s="57"/>
      <c r="E76" s="61" t="s">
        <v>265</v>
      </c>
      <c r="F76" s="62">
        <v>0</v>
      </c>
      <c r="G76" s="62">
        <v>0</v>
      </c>
      <c r="H76" s="62">
        <v>0</v>
      </c>
      <c r="L76" t="s">
        <v>401</v>
      </c>
    </row>
    <row r="77" spans="1:23" x14ac:dyDescent="0.4">
      <c r="A77" s="56"/>
      <c r="B77" s="60"/>
      <c r="C77" s="56"/>
      <c r="D77" s="57"/>
      <c r="E77" s="61" t="s">
        <v>266</v>
      </c>
      <c r="F77" s="62">
        <v>0</v>
      </c>
      <c r="G77" s="62">
        <v>172500</v>
      </c>
      <c r="H77" s="62">
        <v>172500</v>
      </c>
      <c r="L77" t="s">
        <v>870</v>
      </c>
      <c r="M77">
        <v>122</v>
      </c>
      <c r="N77">
        <v>1</v>
      </c>
      <c r="O77" s="49">
        <v>122000</v>
      </c>
      <c r="P77">
        <v>122</v>
      </c>
      <c r="Q77">
        <v>122</v>
      </c>
      <c r="R77">
        <v>0</v>
      </c>
      <c r="S77">
        <v>0</v>
      </c>
      <c r="T77">
        <v>122</v>
      </c>
      <c r="U77">
        <v>122</v>
      </c>
      <c r="V77">
        <v>0</v>
      </c>
      <c r="W77">
        <v>0</v>
      </c>
    </row>
    <row r="78" spans="1:23" x14ac:dyDescent="0.4">
      <c r="A78" s="56"/>
      <c r="B78" s="60"/>
      <c r="C78" s="56"/>
      <c r="D78" s="57"/>
      <c r="E78" s="61" t="s">
        <v>267</v>
      </c>
      <c r="F78" s="62">
        <v>0</v>
      </c>
      <c r="G78" s="62">
        <v>1257600</v>
      </c>
      <c r="H78" s="62">
        <v>1257600</v>
      </c>
      <c r="L78" t="s">
        <v>402</v>
      </c>
      <c r="M78">
        <v>1.6</v>
      </c>
      <c r="N78">
        <v>1</v>
      </c>
      <c r="O78" s="49">
        <v>1600</v>
      </c>
      <c r="P78">
        <v>0</v>
      </c>
      <c r="Q78">
        <v>0</v>
      </c>
      <c r="R78">
        <v>1.6</v>
      </c>
      <c r="S78">
        <v>1.6</v>
      </c>
      <c r="T78">
        <v>0</v>
      </c>
      <c r="U78">
        <v>0</v>
      </c>
      <c r="V78">
        <v>1.6</v>
      </c>
      <c r="W78">
        <v>1.6</v>
      </c>
    </row>
    <row r="79" spans="1:23" x14ac:dyDescent="0.4">
      <c r="A79" s="56"/>
      <c r="B79" s="60"/>
      <c r="C79" s="56"/>
      <c r="D79" s="57"/>
      <c r="E79" s="61" t="s">
        <v>268</v>
      </c>
      <c r="F79" s="62">
        <v>0</v>
      </c>
      <c r="G79" s="62">
        <v>0</v>
      </c>
      <c r="H79" s="62">
        <v>0</v>
      </c>
      <c r="L79" t="s">
        <v>403</v>
      </c>
    </row>
    <row r="80" spans="1:23" x14ac:dyDescent="0.4">
      <c r="A80" s="56"/>
      <c r="B80" s="60"/>
      <c r="C80" s="56"/>
      <c r="D80" s="57"/>
      <c r="E80" s="61" t="s">
        <v>269</v>
      </c>
      <c r="F80" s="62">
        <v>0</v>
      </c>
      <c r="G80" s="62">
        <v>-312000</v>
      </c>
      <c r="H80" s="62">
        <v>-312000</v>
      </c>
      <c r="L80" t="s">
        <v>404</v>
      </c>
      <c r="M80">
        <v>82.7</v>
      </c>
      <c r="N80">
        <v>1</v>
      </c>
      <c r="O80" s="49">
        <v>82700</v>
      </c>
      <c r="P80">
        <v>82</v>
      </c>
      <c r="Q80">
        <v>82</v>
      </c>
      <c r="R80">
        <v>0.7</v>
      </c>
      <c r="S80">
        <v>0.7</v>
      </c>
      <c r="T80">
        <v>82</v>
      </c>
      <c r="U80">
        <v>82</v>
      </c>
      <c r="V80">
        <v>0.7</v>
      </c>
      <c r="W80">
        <v>0.7</v>
      </c>
    </row>
    <row r="81" spans="1:23" x14ac:dyDescent="0.4">
      <c r="A81" s="56"/>
      <c r="B81" s="60"/>
      <c r="C81" s="56"/>
      <c r="D81" s="57"/>
      <c r="L81" t="s">
        <v>871</v>
      </c>
      <c r="M81">
        <v>27.3</v>
      </c>
      <c r="N81">
        <v>1</v>
      </c>
      <c r="O81" s="49">
        <v>27300</v>
      </c>
      <c r="P81">
        <v>25</v>
      </c>
      <c r="Q81">
        <v>25</v>
      </c>
      <c r="R81">
        <v>2.2999999999999998</v>
      </c>
      <c r="S81">
        <v>2.2999999999999998</v>
      </c>
      <c r="T81">
        <v>25</v>
      </c>
      <c r="U81">
        <v>25</v>
      </c>
      <c r="V81">
        <v>2.2999999999999998</v>
      </c>
      <c r="W81">
        <v>2.2999999999999998</v>
      </c>
    </row>
    <row r="82" spans="1:23" x14ac:dyDescent="0.4">
      <c r="A82" s="56"/>
      <c r="B82" s="60"/>
      <c r="C82" s="56"/>
      <c r="D82" s="57"/>
      <c r="L82" t="s">
        <v>790</v>
      </c>
    </row>
    <row r="83" spans="1:23" x14ac:dyDescent="0.4">
      <c r="A83" s="56"/>
      <c r="B83" s="60"/>
      <c r="C83" s="56"/>
      <c r="D83" s="57"/>
      <c r="L83" t="s">
        <v>843</v>
      </c>
      <c r="M83">
        <v>170.8</v>
      </c>
      <c r="N83">
        <v>1</v>
      </c>
      <c r="O83" s="49">
        <v>170800</v>
      </c>
      <c r="P83">
        <v>160</v>
      </c>
      <c r="Q83">
        <v>160</v>
      </c>
      <c r="R83">
        <v>10.8</v>
      </c>
      <c r="S83">
        <v>10.8</v>
      </c>
      <c r="T83">
        <v>160</v>
      </c>
      <c r="U83">
        <v>160</v>
      </c>
      <c r="V83">
        <v>10.8</v>
      </c>
      <c r="W83">
        <v>10.8</v>
      </c>
    </row>
    <row r="84" spans="1:23" x14ac:dyDescent="0.4">
      <c r="A84" s="56"/>
      <c r="B84" s="60"/>
      <c r="C84" s="56"/>
      <c r="D84" s="57"/>
      <c r="L84" t="s">
        <v>872</v>
      </c>
    </row>
    <row r="85" spans="1:23" x14ac:dyDescent="0.4">
      <c r="A85" s="56"/>
      <c r="B85" s="60"/>
      <c r="C85" s="56"/>
      <c r="D85" s="57"/>
      <c r="L85" t="s">
        <v>791</v>
      </c>
      <c r="M85">
        <v>48.8</v>
      </c>
      <c r="N85">
        <v>2</v>
      </c>
      <c r="O85" s="49">
        <v>97600</v>
      </c>
      <c r="P85">
        <v>33</v>
      </c>
      <c r="Q85">
        <v>66</v>
      </c>
      <c r="R85">
        <v>15.8</v>
      </c>
      <c r="S85">
        <v>31.6</v>
      </c>
      <c r="T85">
        <v>33</v>
      </c>
      <c r="U85">
        <v>66</v>
      </c>
      <c r="V85">
        <v>15.8</v>
      </c>
      <c r="W85">
        <v>31.6</v>
      </c>
    </row>
    <row r="86" spans="1:23" x14ac:dyDescent="0.4">
      <c r="A86" s="56"/>
      <c r="B86" s="60"/>
      <c r="C86" s="56"/>
      <c r="D86" s="57"/>
      <c r="L86" t="s">
        <v>792</v>
      </c>
      <c r="M86">
        <v>-9</v>
      </c>
      <c r="N86">
        <v>2</v>
      </c>
      <c r="O86" s="49">
        <v>-18000</v>
      </c>
      <c r="P86">
        <v>0</v>
      </c>
      <c r="Q86">
        <v>0</v>
      </c>
      <c r="R86">
        <v>-9</v>
      </c>
      <c r="S86">
        <v>-18</v>
      </c>
      <c r="T86">
        <v>0</v>
      </c>
      <c r="U86">
        <v>0</v>
      </c>
      <c r="V86">
        <v>-9</v>
      </c>
      <c r="W86">
        <v>-18</v>
      </c>
    </row>
    <row r="87" spans="1:23" x14ac:dyDescent="0.4">
      <c r="A87" s="56"/>
      <c r="B87" s="60"/>
      <c r="C87" s="56"/>
      <c r="D87" s="57"/>
      <c r="L87" t="s">
        <v>405</v>
      </c>
    </row>
    <row r="88" spans="1:23" x14ac:dyDescent="0.4">
      <c r="A88" s="56"/>
      <c r="B88" s="60"/>
      <c r="C88" s="56"/>
      <c r="D88" s="57"/>
      <c r="L88" t="s">
        <v>406</v>
      </c>
      <c r="M88">
        <v>19.7</v>
      </c>
      <c r="N88">
        <v>2.0299999999999998</v>
      </c>
      <c r="O88" s="49">
        <v>39991</v>
      </c>
      <c r="P88">
        <v>0</v>
      </c>
      <c r="Q88">
        <v>0</v>
      </c>
      <c r="R88">
        <v>19.7</v>
      </c>
      <c r="S88">
        <v>39.991</v>
      </c>
      <c r="T88">
        <v>0</v>
      </c>
      <c r="U88">
        <v>0</v>
      </c>
      <c r="V88">
        <v>19.7</v>
      </c>
      <c r="W88">
        <v>39.991</v>
      </c>
    </row>
    <row r="89" spans="1:23" x14ac:dyDescent="0.4">
      <c r="A89" s="56"/>
      <c r="B89" s="60"/>
      <c r="C89" s="56"/>
      <c r="D89" s="57"/>
      <c r="L89" t="s">
        <v>873</v>
      </c>
    </row>
    <row r="90" spans="1:23" x14ac:dyDescent="0.4">
      <c r="A90" s="56"/>
      <c r="B90" s="60"/>
      <c r="C90" s="56"/>
      <c r="D90" s="57"/>
      <c r="L90" t="s">
        <v>874</v>
      </c>
      <c r="M90">
        <v>44.5</v>
      </c>
      <c r="N90">
        <v>3.22</v>
      </c>
      <c r="O90" s="49">
        <v>143290</v>
      </c>
      <c r="P90">
        <v>0</v>
      </c>
      <c r="Q90">
        <v>0</v>
      </c>
      <c r="R90">
        <v>44.5</v>
      </c>
      <c r="S90">
        <v>143.29</v>
      </c>
      <c r="T90">
        <v>0</v>
      </c>
      <c r="U90">
        <v>0</v>
      </c>
      <c r="V90">
        <v>44.5</v>
      </c>
      <c r="W90">
        <v>143.29</v>
      </c>
    </row>
    <row r="91" spans="1:23" x14ac:dyDescent="0.4">
      <c r="A91" s="56"/>
      <c r="B91" s="60"/>
      <c r="C91" s="56"/>
      <c r="D91" s="57"/>
      <c r="L91" t="s">
        <v>407</v>
      </c>
    </row>
    <row r="92" spans="1:23" x14ac:dyDescent="0.4">
      <c r="A92" s="56"/>
      <c r="B92" s="60"/>
      <c r="C92" s="56"/>
      <c r="D92" s="57"/>
      <c r="L92" t="s">
        <v>408</v>
      </c>
      <c r="M92">
        <v>11.5</v>
      </c>
      <c r="N92">
        <v>2.0299999999999998</v>
      </c>
      <c r="O92" s="49">
        <v>23345</v>
      </c>
      <c r="P92">
        <v>0</v>
      </c>
      <c r="Q92">
        <v>0</v>
      </c>
      <c r="R92">
        <v>11.5</v>
      </c>
      <c r="S92">
        <v>23.344999999999999</v>
      </c>
      <c r="T92">
        <v>0</v>
      </c>
      <c r="U92">
        <v>0</v>
      </c>
      <c r="V92">
        <v>11.5</v>
      </c>
      <c r="W92">
        <v>23.344999999999999</v>
      </c>
    </row>
    <row r="93" spans="1:23" x14ac:dyDescent="0.4">
      <c r="A93" s="56"/>
      <c r="B93" s="60"/>
      <c r="C93" s="56"/>
      <c r="D93" s="57"/>
      <c r="L93" t="s">
        <v>409</v>
      </c>
    </row>
    <row r="94" spans="1:23" x14ac:dyDescent="0.4">
      <c r="A94" s="56"/>
      <c r="B94" s="60"/>
      <c r="C94" s="56"/>
      <c r="D94" s="57"/>
      <c r="L94" t="s">
        <v>793</v>
      </c>
      <c r="M94">
        <v>9.6999999999999993</v>
      </c>
      <c r="N94">
        <v>10.44</v>
      </c>
      <c r="O94" s="49">
        <v>101268</v>
      </c>
      <c r="P94">
        <v>0</v>
      </c>
      <c r="Q94">
        <v>0</v>
      </c>
      <c r="R94">
        <v>9.6999999999999993</v>
      </c>
      <c r="S94">
        <v>101.268</v>
      </c>
      <c r="T94">
        <v>0</v>
      </c>
      <c r="U94">
        <v>0</v>
      </c>
      <c r="V94">
        <v>9.6999999999999993</v>
      </c>
      <c r="W94">
        <v>101.268</v>
      </c>
    </row>
    <row r="95" spans="1:23" x14ac:dyDescent="0.4">
      <c r="A95" s="56"/>
      <c r="B95" s="60"/>
      <c r="C95" s="56"/>
      <c r="D95" s="57"/>
      <c r="L95" t="s">
        <v>875</v>
      </c>
    </row>
    <row r="96" spans="1:23" x14ac:dyDescent="0.4">
      <c r="A96" s="56"/>
      <c r="B96" s="60"/>
      <c r="C96" s="56"/>
      <c r="D96" s="57"/>
      <c r="L96" t="s">
        <v>876</v>
      </c>
      <c r="M96">
        <v>14.9</v>
      </c>
      <c r="N96">
        <v>7.19</v>
      </c>
      <c r="O96" s="49">
        <v>107131</v>
      </c>
      <c r="P96">
        <v>0</v>
      </c>
      <c r="Q96">
        <v>0</v>
      </c>
      <c r="R96">
        <v>14.9</v>
      </c>
      <c r="S96">
        <v>107.131</v>
      </c>
      <c r="T96">
        <v>0</v>
      </c>
      <c r="U96">
        <v>0</v>
      </c>
      <c r="V96">
        <v>14.9</v>
      </c>
      <c r="W96">
        <v>107.131</v>
      </c>
    </row>
    <row r="97" spans="1:39" x14ac:dyDescent="0.4">
      <c r="A97" s="56"/>
      <c r="B97" s="60"/>
      <c r="C97" s="56"/>
      <c r="D97" s="57"/>
      <c r="L97" t="s">
        <v>410</v>
      </c>
    </row>
    <row r="98" spans="1:39" x14ac:dyDescent="0.4">
      <c r="A98" s="56"/>
      <c r="B98" s="60"/>
      <c r="C98" s="56"/>
      <c r="D98" s="57"/>
      <c r="L98" t="s">
        <v>411</v>
      </c>
      <c r="M98">
        <v>45</v>
      </c>
      <c r="N98">
        <v>1</v>
      </c>
      <c r="O98" s="49">
        <v>45000</v>
      </c>
      <c r="P98">
        <v>0</v>
      </c>
      <c r="Q98">
        <v>0</v>
      </c>
      <c r="R98">
        <v>45</v>
      </c>
      <c r="S98">
        <v>45</v>
      </c>
      <c r="T98">
        <v>0</v>
      </c>
      <c r="U98">
        <v>0</v>
      </c>
      <c r="V98">
        <v>45</v>
      </c>
      <c r="W98">
        <v>45</v>
      </c>
    </row>
    <row r="99" spans="1:39" x14ac:dyDescent="0.4">
      <c r="A99" s="56"/>
      <c r="B99" s="60"/>
      <c r="C99" s="56"/>
      <c r="D99" s="57"/>
      <c r="K99" t="s">
        <v>412</v>
      </c>
      <c r="O99" s="49">
        <v>944025</v>
      </c>
      <c r="Q99">
        <v>455</v>
      </c>
      <c r="S99">
        <v>489.02499999999998</v>
      </c>
      <c r="U99">
        <v>455</v>
      </c>
      <c r="W99">
        <v>489.02499999999998</v>
      </c>
    </row>
    <row r="100" spans="1:39" x14ac:dyDescent="0.4">
      <c r="A100" s="56"/>
      <c r="B100" s="59"/>
      <c r="C100" s="56"/>
      <c r="D100" s="56"/>
      <c r="I100" s="56"/>
      <c r="J100" s="56"/>
      <c r="K100" s="56" t="s">
        <v>413</v>
      </c>
      <c r="L100" s="56"/>
      <c r="M100" s="56"/>
      <c r="N100" s="56"/>
      <c r="O100" s="57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</row>
    <row r="101" spans="1:39" x14ac:dyDescent="0.4">
      <c r="A101" s="56"/>
      <c r="B101" s="59"/>
      <c r="C101" s="56"/>
      <c r="D101" s="56"/>
      <c r="E101" s="56"/>
      <c r="F101" s="57"/>
      <c r="G101" s="57"/>
      <c r="H101" s="57"/>
      <c r="I101" s="56"/>
      <c r="J101" s="56"/>
      <c r="K101" s="56" t="s">
        <v>414</v>
      </c>
      <c r="L101" s="56"/>
      <c r="M101" s="56"/>
      <c r="N101" s="56"/>
      <c r="O101" s="57">
        <v>0</v>
      </c>
      <c r="P101" s="56"/>
      <c r="Q101" s="56">
        <v>0</v>
      </c>
      <c r="R101" s="56"/>
      <c r="S101" s="56">
        <v>0</v>
      </c>
      <c r="T101" s="56"/>
      <c r="U101" s="56">
        <v>0</v>
      </c>
      <c r="V101" s="56"/>
      <c r="W101" s="56">
        <v>0</v>
      </c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</row>
    <row r="102" spans="1:39" x14ac:dyDescent="0.4">
      <c r="A102" s="56"/>
      <c r="B102" s="59"/>
      <c r="C102" s="56"/>
      <c r="D102" s="56"/>
      <c r="E102" s="56"/>
      <c r="F102" s="57"/>
      <c r="G102" s="57"/>
      <c r="H102" s="57"/>
      <c r="I102" s="56"/>
      <c r="J102" s="56"/>
      <c r="K102" s="56" t="s">
        <v>415</v>
      </c>
      <c r="L102" s="56"/>
      <c r="M102" s="56"/>
      <c r="N102" s="56"/>
      <c r="O102" s="57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</row>
    <row r="103" spans="1:39" x14ac:dyDescent="0.4">
      <c r="A103" s="56"/>
      <c r="B103" s="59"/>
      <c r="C103" s="56"/>
      <c r="D103" s="56"/>
      <c r="E103" s="56"/>
      <c r="F103" s="57"/>
      <c r="G103" s="57"/>
      <c r="H103" s="57"/>
      <c r="I103" s="56"/>
      <c r="J103" s="56"/>
      <c r="K103" s="56"/>
      <c r="L103" s="56" t="s">
        <v>877</v>
      </c>
      <c r="M103" s="56"/>
      <c r="N103" s="56"/>
      <c r="O103" s="57"/>
      <c r="P103" s="56"/>
      <c r="Q103" s="56"/>
      <c r="R103" s="58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</row>
    <row r="104" spans="1:39" x14ac:dyDescent="0.4">
      <c r="A104" s="56"/>
      <c r="B104" s="59"/>
      <c r="C104" s="56"/>
      <c r="D104" s="56"/>
      <c r="E104" s="56"/>
      <c r="F104" s="57"/>
      <c r="G104" s="57"/>
      <c r="H104" s="57"/>
      <c r="I104" s="56"/>
      <c r="J104" s="56"/>
      <c r="K104" s="56"/>
      <c r="L104" s="56" t="s">
        <v>878</v>
      </c>
      <c r="M104" s="56">
        <v>4.8</v>
      </c>
      <c r="N104" s="56">
        <v>2</v>
      </c>
      <c r="O104" s="57">
        <v>9600</v>
      </c>
      <c r="P104" s="56">
        <v>4.5</v>
      </c>
      <c r="Q104" s="56">
        <v>9</v>
      </c>
      <c r="R104" s="56">
        <v>0.3</v>
      </c>
      <c r="S104" s="56">
        <v>0.6</v>
      </c>
      <c r="T104" s="56">
        <v>4.5</v>
      </c>
      <c r="U104" s="56">
        <v>9</v>
      </c>
      <c r="V104" s="56">
        <v>0.3</v>
      </c>
      <c r="W104" s="56">
        <v>0.6</v>
      </c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</row>
    <row r="105" spans="1:39" x14ac:dyDescent="0.4">
      <c r="A105" s="56"/>
      <c r="B105" s="59"/>
      <c r="C105" s="56"/>
      <c r="D105" s="56"/>
      <c r="E105" s="56"/>
      <c r="F105" s="57"/>
      <c r="G105" s="57"/>
      <c r="H105" s="57"/>
      <c r="I105" s="56"/>
      <c r="J105" s="56"/>
      <c r="K105" s="56" t="s">
        <v>416</v>
      </c>
      <c r="L105" s="56"/>
      <c r="M105" s="56"/>
      <c r="N105" s="56"/>
      <c r="O105" s="57">
        <v>9600</v>
      </c>
      <c r="P105" s="56"/>
      <c r="Q105" s="56">
        <v>9</v>
      </c>
      <c r="R105" s="56"/>
      <c r="S105" s="56">
        <v>0.6</v>
      </c>
      <c r="T105" s="56"/>
      <c r="U105" s="56">
        <v>9</v>
      </c>
      <c r="V105" s="56"/>
      <c r="W105" s="56">
        <v>0.6</v>
      </c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</row>
    <row r="106" spans="1:39" x14ac:dyDescent="0.4">
      <c r="A106" s="56"/>
      <c r="B106" s="59"/>
      <c r="C106" s="56"/>
      <c r="D106" s="56"/>
      <c r="E106" s="56"/>
      <c r="F106" s="57"/>
      <c r="G106" s="57"/>
      <c r="H106" s="57"/>
      <c r="I106" s="56"/>
      <c r="J106" s="56"/>
      <c r="K106" s="56" t="s">
        <v>417</v>
      </c>
      <c r="L106" s="56"/>
      <c r="M106" s="56"/>
      <c r="N106" s="56"/>
      <c r="O106" s="57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</row>
    <row r="107" spans="1:39" x14ac:dyDescent="0.4">
      <c r="A107" s="56"/>
      <c r="B107" s="59"/>
      <c r="C107" s="56"/>
      <c r="D107" s="56"/>
      <c r="E107" s="56"/>
      <c r="F107" s="57"/>
      <c r="G107" s="57"/>
      <c r="H107" s="57"/>
      <c r="I107" s="56"/>
      <c r="J107" s="56"/>
      <c r="K107" s="56" t="s">
        <v>418</v>
      </c>
      <c r="L107" s="56"/>
      <c r="M107" s="56"/>
      <c r="N107" s="56"/>
      <c r="O107" s="57">
        <v>0</v>
      </c>
      <c r="P107" s="56"/>
      <c r="Q107" s="56">
        <v>0</v>
      </c>
      <c r="R107" s="56"/>
      <c r="S107" s="56">
        <v>0</v>
      </c>
      <c r="T107" s="56"/>
      <c r="U107" s="56">
        <v>0</v>
      </c>
      <c r="V107" s="56"/>
      <c r="W107" s="56">
        <v>0</v>
      </c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</row>
    <row r="108" spans="1:39" x14ac:dyDescent="0.4">
      <c r="A108" s="56"/>
      <c r="B108" s="59"/>
      <c r="C108" s="56"/>
      <c r="D108" s="56"/>
      <c r="E108" s="56"/>
      <c r="F108" s="57"/>
      <c r="G108" s="57"/>
      <c r="H108" s="57"/>
      <c r="I108" s="56"/>
      <c r="J108" s="56"/>
      <c r="K108" s="56" t="s">
        <v>419</v>
      </c>
      <c r="L108" s="56"/>
      <c r="M108" s="56"/>
      <c r="N108" s="56"/>
      <c r="O108" s="57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</row>
    <row r="109" spans="1:39" x14ac:dyDescent="0.4">
      <c r="A109" s="56"/>
      <c r="B109" s="59"/>
      <c r="C109" s="56"/>
      <c r="D109" s="56"/>
      <c r="E109" s="56"/>
      <c r="F109" s="57"/>
      <c r="G109" s="57"/>
      <c r="H109" s="57"/>
      <c r="I109" s="56"/>
      <c r="J109" s="56"/>
      <c r="K109" s="56" t="s">
        <v>420</v>
      </c>
      <c r="L109" s="56"/>
      <c r="M109" s="56"/>
      <c r="N109" s="56"/>
      <c r="O109" s="57">
        <v>0</v>
      </c>
      <c r="P109" s="56"/>
      <c r="Q109" s="56">
        <v>0</v>
      </c>
      <c r="R109" s="56"/>
      <c r="S109" s="56">
        <v>0</v>
      </c>
      <c r="T109" s="56"/>
      <c r="U109" s="56">
        <v>0</v>
      </c>
      <c r="V109" s="56"/>
      <c r="W109" s="56">
        <v>0</v>
      </c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</row>
    <row r="110" spans="1:39" x14ac:dyDescent="0.4">
      <c r="A110" s="56"/>
      <c r="B110" s="59"/>
      <c r="C110" s="56"/>
      <c r="D110" s="56"/>
      <c r="E110" s="56"/>
      <c r="F110" s="57"/>
      <c r="G110" s="57"/>
      <c r="H110" s="57"/>
      <c r="I110" s="56"/>
      <c r="J110" s="56"/>
      <c r="K110" s="56" t="s">
        <v>421</v>
      </c>
      <c r="L110" s="56"/>
      <c r="M110" s="56"/>
      <c r="N110" s="56"/>
      <c r="O110" s="57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</row>
    <row r="111" spans="1:39" x14ac:dyDescent="0.4">
      <c r="A111" s="56"/>
      <c r="B111" s="59"/>
      <c r="C111" s="56"/>
      <c r="D111" s="56"/>
      <c r="E111" s="56"/>
      <c r="F111" s="57"/>
      <c r="G111" s="57"/>
      <c r="H111" s="57"/>
      <c r="I111" s="56"/>
      <c r="J111" s="56"/>
      <c r="K111" s="56" t="s">
        <v>422</v>
      </c>
      <c r="L111" s="56"/>
      <c r="M111" s="56"/>
      <c r="N111" s="56"/>
      <c r="O111" s="57">
        <v>0</v>
      </c>
      <c r="P111" s="56"/>
      <c r="Q111" s="56">
        <v>0</v>
      </c>
      <c r="R111" s="56"/>
      <c r="S111" s="56">
        <v>0</v>
      </c>
      <c r="T111" s="56"/>
      <c r="U111" s="56">
        <v>0</v>
      </c>
      <c r="V111" s="56"/>
      <c r="W111" s="56">
        <v>0</v>
      </c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</row>
    <row r="112" spans="1:39" x14ac:dyDescent="0.4">
      <c r="A112" s="56"/>
      <c r="B112" s="59"/>
      <c r="C112" s="56"/>
      <c r="D112" s="56"/>
      <c r="E112" s="56"/>
      <c r="F112" s="57"/>
      <c r="G112" s="57"/>
      <c r="H112" s="57"/>
      <c r="I112" s="56"/>
      <c r="J112" s="56" t="s">
        <v>230</v>
      </c>
      <c r="K112" s="56"/>
      <c r="L112" s="56"/>
      <c r="M112" s="56"/>
      <c r="N112" s="56"/>
      <c r="O112" s="57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</row>
    <row r="113" spans="1:39" x14ac:dyDescent="0.4">
      <c r="A113" s="56"/>
      <c r="B113" s="59"/>
      <c r="C113" s="56"/>
      <c r="D113" s="56"/>
      <c r="E113" s="56"/>
      <c r="F113" s="57"/>
      <c r="G113" s="57"/>
      <c r="H113" s="57"/>
      <c r="I113" s="56"/>
      <c r="J113" s="56"/>
      <c r="K113" s="56" t="s">
        <v>423</v>
      </c>
      <c r="L113" s="56"/>
      <c r="M113" s="56"/>
      <c r="N113" s="56"/>
      <c r="O113" s="57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</row>
    <row r="114" spans="1:39" x14ac:dyDescent="0.4">
      <c r="A114" s="56"/>
      <c r="B114" s="59"/>
      <c r="C114" s="56"/>
      <c r="D114" s="56"/>
      <c r="E114" s="56"/>
      <c r="F114" s="57"/>
      <c r="G114" s="57"/>
      <c r="H114" s="57"/>
      <c r="I114" s="56"/>
      <c r="J114" s="56"/>
      <c r="K114" s="56"/>
      <c r="L114" s="56" t="s">
        <v>424</v>
      </c>
      <c r="M114" s="56"/>
      <c r="N114" s="56"/>
      <c r="O114" s="57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</row>
    <row r="115" spans="1:39" x14ac:dyDescent="0.4">
      <c r="A115" s="56"/>
      <c r="B115" s="59"/>
      <c r="C115" s="56"/>
      <c r="D115" s="56"/>
      <c r="E115" s="56"/>
      <c r="F115" s="57"/>
      <c r="G115" s="57"/>
      <c r="H115" s="57"/>
      <c r="I115" s="56"/>
      <c r="J115" s="56"/>
      <c r="K115" s="56"/>
      <c r="L115" s="56" t="s">
        <v>425</v>
      </c>
      <c r="M115" s="56">
        <v>155</v>
      </c>
      <c r="N115" s="56">
        <v>1</v>
      </c>
      <c r="O115" s="57">
        <v>155000</v>
      </c>
      <c r="P115" s="56">
        <v>75.8</v>
      </c>
      <c r="Q115" s="56">
        <v>75.8</v>
      </c>
      <c r="R115" s="56">
        <v>79.2</v>
      </c>
      <c r="S115" s="56">
        <v>79.2</v>
      </c>
      <c r="T115" s="56">
        <v>75.8</v>
      </c>
      <c r="U115" s="56">
        <v>75.8</v>
      </c>
      <c r="V115" s="56">
        <v>79.2</v>
      </c>
      <c r="W115" s="56">
        <v>79.2</v>
      </c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</row>
    <row r="116" spans="1:39" x14ac:dyDescent="0.4">
      <c r="A116" s="56"/>
      <c r="B116" s="59"/>
      <c r="C116" s="56"/>
      <c r="D116" s="56"/>
      <c r="E116" s="56"/>
      <c r="F116" s="57"/>
      <c r="G116" s="57"/>
      <c r="H116" s="57"/>
      <c r="I116" s="56"/>
      <c r="J116" s="56"/>
      <c r="K116" s="56"/>
      <c r="L116" s="56" t="s">
        <v>426</v>
      </c>
      <c r="M116" s="56">
        <v>6.2</v>
      </c>
      <c r="N116" s="56">
        <v>45</v>
      </c>
      <c r="O116" s="57">
        <v>279000</v>
      </c>
      <c r="P116" s="56">
        <v>6.2</v>
      </c>
      <c r="Q116" s="56">
        <v>279</v>
      </c>
      <c r="R116" s="56">
        <v>0</v>
      </c>
      <c r="S116" s="56">
        <v>0</v>
      </c>
      <c r="T116" s="56">
        <v>6.2</v>
      </c>
      <c r="U116" s="56">
        <v>279</v>
      </c>
      <c r="V116" s="56">
        <v>0</v>
      </c>
      <c r="W116" s="56">
        <v>0</v>
      </c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</row>
    <row r="117" spans="1:39" x14ac:dyDescent="0.4">
      <c r="A117" s="56"/>
      <c r="B117" s="59"/>
      <c r="C117" s="56"/>
      <c r="D117" s="56"/>
      <c r="E117" s="56"/>
      <c r="F117" s="57"/>
      <c r="G117" s="57"/>
      <c r="H117" s="57"/>
      <c r="I117" s="56"/>
      <c r="J117" s="56"/>
      <c r="K117" s="56"/>
      <c r="L117" s="56" t="s">
        <v>427</v>
      </c>
      <c r="M117" s="56">
        <v>1.1000000000000001</v>
      </c>
      <c r="N117" s="56">
        <v>19.8</v>
      </c>
      <c r="O117" s="57">
        <v>21780</v>
      </c>
      <c r="P117" s="56">
        <v>0</v>
      </c>
      <c r="Q117" s="56">
        <v>0</v>
      </c>
      <c r="R117" s="56">
        <v>1.1000000000000001</v>
      </c>
      <c r="S117" s="56">
        <v>21.78</v>
      </c>
      <c r="T117" s="56">
        <v>0</v>
      </c>
      <c r="U117" s="56">
        <v>0</v>
      </c>
      <c r="V117" s="56">
        <v>1.1000000000000001</v>
      </c>
      <c r="W117" s="56">
        <v>21.78</v>
      </c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</row>
    <row r="118" spans="1:39" x14ac:dyDescent="0.4">
      <c r="A118" s="56"/>
      <c r="B118" s="59"/>
      <c r="C118" s="56"/>
      <c r="D118" s="56"/>
      <c r="E118" s="56"/>
      <c r="F118" s="57"/>
      <c r="G118" s="57"/>
      <c r="H118" s="57"/>
      <c r="I118" s="56"/>
      <c r="J118" s="56"/>
      <c r="K118" s="56"/>
      <c r="L118" s="56" t="s">
        <v>428</v>
      </c>
      <c r="M118" s="56">
        <v>1.4</v>
      </c>
      <c r="N118" s="56">
        <v>5</v>
      </c>
      <c r="O118" s="57">
        <v>7000</v>
      </c>
      <c r="P118" s="56">
        <v>0</v>
      </c>
      <c r="Q118" s="56">
        <v>0</v>
      </c>
      <c r="R118" s="56">
        <v>1.4</v>
      </c>
      <c r="S118" s="56">
        <v>7</v>
      </c>
      <c r="T118" s="56">
        <v>0</v>
      </c>
      <c r="U118" s="56">
        <v>0</v>
      </c>
      <c r="V118" s="56">
        <v>1.4</v>
      </c>
      <c r="W118" s="56">
        <v>7</v>
      </c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</row>
    <row r="119" spans="1:39" x14ac:dyDescent="0.4">
      <c r="A119" s="56"/>
      <c r="B119" s="59"/>
      <c r="C119" s="56"/>
      <c r="D119" s="56"/>
      <c r="E119" s="56"/>
      <c r="F119" s="57"/>
      <c r="G119" s="57"/>
      <c r="H119" s="57"/>
      <c r="I119" s="56"/>
      <c r="J119" s="56"/>
      <c r="K119" s="56"/>
      <c r="L119" s="56" t="s">
        <v>794</v>
      </c>
      <c r="M119" s="56">
        <v>1.1000000000000001</v>
      </c>
      <c r="N119" s="56">
        <v>19.899999999999999</v>
      </c>
      <c r="O119" s="57">
        <v>21890</v>
      </c>
      <c r="P119" s="56">
        <v>0</v>
      </c>
      <c r="Q119" s="56">
        <v>0</v>
      </c>
      <c r="R119" s="56">
        <v>1.1000000000000001</v>
      </c>
      <c r="S119" s="56">
        <v>21.89</v>
      </c>
      <c r="T119" s="56">
        <v>0</v>
      </c>
      <c r="U119" s="56">
        <v>0</v>
      </c>
      <c r="V119" s="56">
        <v>1.1000000000000001</v>
      </c>
      <c r="W119" s="57">
        <v>21.89</v>
      </c>
      <c r="X119" s="56"/>
      <c r="Y119" s="56"/>
      <c r="Z119" s="56"/>
      <c r="AA119" s="56"/>
      <c r="AB119" s="56"/>
      <c r="AC119" s="56"/>
      <c r="AD119" s="56"/>
      <c r="AE119" s="57"/>
      <c r="AF119" s="56"/>
      <c r="AG119" s="56"/>
      <c r="AH119" s="56"/>
      <c r="AI119" s="56"/>
      <c r="AJ119" s="56"/>
      <c r="AK119" s="56"/>
      <c r="AL119" s="56"/>
      <c r="AM119" s="56"/>
    </row>
    <row r="120" spans="1:39" x14ac:dyDescent="0.4">
      <c r="A120" s="56"/>
      <c r="B120" s="59"/>
      <c r="C120" s="56"/>
      <c r="D120" s="56"/>
      <c r="E120" s="56"/>
      <c r="F120" s="57"/>
      <c r="G120" s="57"/>
      <c r="H120" s="57"/>
      <c r="I120" s="56"/>
      <c r="J120" s="56"/>
      <c r="K120" s="56"/>
      <c r="L120" s="56" t="s">
        <v>795</v>
      </c>
      <c r="M120" s="56">
        <v>1.4</v>
      </c>
      <c r="N120" s="56">
        <v>1.7</v>
      </c>
      <c r="O120" s="57">
        <v>2380</v>
      </c>
      <c r="P120" s="56">
        <v>0</v>
      </c>
      <c r="Q120" s="56">
        <v>0</v>
      </c>
      <c r="R120" s="56">
        <v>1.4</v>
      </c>
      <c r="S120" s="56">
        <v>2.38</v>
      </c>
      <c r="T120" s="56">
        <v>0</v>
      </c>
      <c r="U120" s="56">
        <v>0</v>
      </c>
      <c r="V120" s="56">
        <v>1.4</v>
      </c>
      <c r="W120" s="57">
        <v>2.38</v>
      </c>
      <c r="X120" s="56"/>
      <c r="Y120" s="56"/>
      <c r="Z120" s="56"/>
      <c r="AA120" s="56"/>
      <c r="AB120" s="56"/>
      <c r="AC120" s="56"/>
      <c r="AD120" s="56"/>
      <c r="AE120" s="57"/>
      <c r="AF120" s="56"/>
      <c r="AG120" s="56"/>
      <c r="AH120" s="56"/>
      <c r="AI120" s="56"/>
      <c r="AJ120" s="56"/>
      <c r="AK120" s="56"/>
      <c r="AL120" s="56"/>
      <c r="AM120" s="56"/>
    </row>
    <row r="121" spans="1:39" x14ac:dyDescent="0.4">
      <c r="A121" s="56"/>
      <c r="B121" s="59"/>
      <c r="C121" s="56"/>
      <c r="D121" s="56"/>
      <c r="E121" s="56"/>
      <c r="F121" s="57"/>
      <c r="G121" s="57"/>
      <c r="H121" s="57"/>
      <c r="I121" s="56"/>
      <c r="J121" s="56"/>
      <c r="K121" s="56"/>
      <c r="L121" s="56" t="s">
        <v>429</v>
      </c>
      <c r="M121" s="56">
        <v>1.5</v>
      </c>
      <c r="N121" s="56">
        <v>3</v>
      </c>
      <c r="O121" s="57">
        <v>4500</v>
      </c>
      <c r="P121" s="56">
        <v>0</v>
      </c>
      <c r="Q121" s="56">
        <v>0</v>
      </c>
      <c r="R121" s="56">
        <v>1.5</v>
      </c>
      <c r="S121" s="56">
        <v>4.5</v>
      </c>
      <c r="T121" s="56">
        <v>0</v>
      </c>
      <c r="U121" s="56">
        <v>0</v>
      </c>
      <c r="V121" s="56">
        <v>1.5</v>
      </c>
      <c r="W121" s="56">
        <v>4.5</v>
      </c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</row>
    <row r="122" spans="1:39" x14ac:dyDescent="0.4">
      <c r="A122" s="56"/>
      <c r="B122" s="59"/>
      <c r="C122" s="56"/>
      <c r="D122" s="56"/>
      <c r="E122" s="56"/>
      <c r="F122" s="57"/>
      <c r="G122" s="57"/>
      <c r="H122" s="57"/>
      <c r="I122" s="56"/>
      <c r="J122" s="56"/>
      <c r="K122" s="56"/>
      <c r="L122" s="56" t="s">
        <v>796</v>
      </c>
      <c r="M122" s="56">
        <v>0.4</v>
      </c>
      <c r="N122" s="56">
        <v>5</v>
      </c>
      <c r="O122" s="57">
        <v>2000</v>
      </c>
      <c r="P122" s="56">
        <v>0</v>
      </c>
      <c r="Q122" s="56">
        <v>0</v>
      </c>
      <c r="R122" s="56">
        <v>0.4</v>
      </c>
      <c r="S122" s="56">
        <v>2</v>
      </c>
      <c r="T122" s="56">
        <v>0</v>
      </c>
      <c r="U122" s="56">
        <v>0</v>
      </c>
      <c r="V122" s="56">
        <v>0.4</v>
      </c>
      <c r="W122" s="56">
        <v>2</v>
      </c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</row>
    <row r="123" spans="1:39" x14ac:dyDescent="0.4">
      <c r="A123" s="56"/>
      <c r="B123" s="59"/>
      <c r="C123" s="56"/>
      <c r="D123" s="56"/>
      <c r="E123" s="56"/>
      <c r="F123" s="57"/>
      <c r="G123" s="57"/>
      <c r="H123" s="57"/>
      <c r="I123" s="56"/>
      <c r="J123" s="56"/>
      <c r="K123" s="56"/>
      <c r="L123" s="56" t="s">
        <v>757</v>
      </c>
      <c r="M123" s="56">
        <v>1.4</v>
      </c>
      <c r="N123" s="56">
        <v>51</v>
      </c>
      <c r="O123" s="57">
        <v>71400</v>
      </c>
      <c r="P123" s="56">
        <v>0</v>
      </c>
      <c r="Q123" s="56">
        <v>0</v>
      </c>
      <c r="R123" s="56">
        <v>1.4</v>
      </c>
      <c r="S123" s="56">
        <v>71.400000000000006</v>
      </c>
      <c r="T123" s="58">
        <v>0</v>
      </c>
      <c r="U123" s="56">
        <v>0</v>
      </c>
      <c r="V123" s="56">
        <v>1.4</v>
      </c>
      <c r="W123" s="58">
        <v>71.400000000000006</v>
      </c>
      <c r="X123" s="56"/>
      <c r="Y123" s="56"/>
      <c r="Z123" s="56"/>
      <c r="AA123" s="58"/>
      <c r="AB123" s="56"/>
      <c r="AC123" s="56"/>
      <c r="AD123" s="56"/>
      <c r="AE123" s="58"/>
      <c r="AF123" s="56"/>
      <c r="AG123" s="56"/>
      <c r="AH123" s="56"/>
      <c r="AI123" s="56"/>
      <c r="AJ123" s="56"/>
      <c r="AK123" s="56"/>
      <c r="AL123" s="56"/>
      <c r="AM123" s="56"/>
    </row>
    <row r="124" spans="1:39" x14ac:dyDescent="0.4">
      <c r="A124" s="56"/>
      <c r="B124" s="59"/>
      <c r="C124" s="56"/>
      <c r="D124" s="56"/>
      <c r="E124" s="56"/>
      <c r="F124" s="57"/>
      <c r="G124" s="57"/>
      <c r="H124" s="57"/>
      <c r="I124" s="56"/>
      <c r="J124" s="56"/>
      <c r="K124" s="56"/>
      <c r="L124" s="56" t="s">
        <v>758</v>
      </c>
      <c r="M124" s="56">
        <v>0.3</v>
      </c>
      <c r="N124" s="56">
        <v>3</v>
      </c>
      <c r="O124" s="57">
        <v>900</v>
      </c>
      <c r="P124" s="56">
        <v>0</v>
      </c>
      <c r="Q124" s="56">
        <v>0</v>
      </c>
      <c r="R124" s="56">
        <v>0.3</v>
      </c>
      <c r="S124" s="56">
        <v>0.9</v>
      </c>
      <c r="T124" s="56">
        <v>0</v>
      </c>
      <c r="U124" s="56">
        <v>0</v>
      </c>
      <c r="V124" s="56">
        <v>0.3</v>
      </c>
      <c r="W124" s="56">
        <v>0.9</v>
      </c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</row>
    <row r="125" spans="1:39" x14ac:dyDescent="0.4">
      <c r="A125" s="56"/>
      <c r="B125" s="59"/>
      <c r="C125" s="56"/>
      <c r="D125" s="56"/>
      <c r="E125" s="56"/>
      <c r="F125" s="57"/>
      <c r="G125" s="57"/>
      <c r="H125" s="57"/>
      <c r="I125" s="56"/>
      <c r="J125" s="56"/>
      <c r="K125" s="56"/>
      <c r="L125" s="56" t="s">
        <v>759</v>
      </c>
      <c r="M125" s="56">
        <v>1</v>
      </c>
      <c r="N125" s="56">
        <v>5</v>
      </c>
      <c r="O125" s="57">
        <v>5000</v>
      </c>
      <c r="P125" s="56">
        <v>0</v>
      </c>
      <c r="Q125" s="56">
        <v>0</v>
      </c>
      <c r="R125" s="56">
        <v>1</v>
      </c>
      <c r="S125" s="56">
        <v>5</v>
      </c>
      <c r="T125" s="56">
        <v>0</v>
      </c>
      <c r="U125" s="56">
        <v>0</v>
      </c>
      <c r="V125" s="56">
        <v>1</v>
      </c>
      <c r="W125" s="56">
        <v>5</v>
      </c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</row>
    <row r="126" spans="1:39" x14ac:dyDescent="0.4">
      <c r="A126" s="56"/>
      <c r="B126" s="59"/>
      <c r="C126" s="56"/>
      <c r="D126" s="56"/>
      <c r="E126" s="56"/>
      <c r="F126" s="57"/>
      <c r="G126" s="57"/>
      <c r="H126" s="57"/>
      <c r="I126" s="56"/>
      <c r="J126" s="56"/>
      <c r="K126" s="56"/>
      <c r="L126" s="56" t="s">
        <v>797</v>
      </c>
      <c r="M126" s="56">
        <v>0.2</v>
      </c>
      <c r="N126" s="56">
        <v>2</v>
      </c>
      <c r="O126" s="57">
        <v>400</v>
      </c>
      <c r="P126" s="56">
        <v>0</v>
      </c>
      <c r="Q126" s="56">
        <v>0</v>
      </c>
      <c r="R126" s="56">
        <v>0.2</v>
      </c>
      <c r="S126" s="56">
        <v>0.4</v>
      </c>
      <c r="T126" s="56">
        <v>0</v>
      </c>
      <c r="U126" s="56">
        <v>0</v>
      </c>
      <c r="V126" s="56">
        <v>0.2</v>
      </c>
      <c r="W126" s="56">
        <v>0.4</v>
      </c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</row>
    <row r="127" spans="1:39" x14ac:dyDescent="0.4">
      <c r="A127" s="56"/>
      <c r="B127" s="59"/>
      <c r="C127" s="56"/>
      <c r="D127" s="56"/>
      <c r="E127" s="56"/>
      <c r="F127" s="57"/>
      <c r="G127" s="57"/>
      <c r="H127" s="57"/>
      <c r="I127" s="56"/>
      <c r="J127" s="56"/>
      <c r="K127" s="56"/>
      <c r="L127" s="56" t="s">
        <v>430</v>
      </c>
      <c r="M127" s="56">
        <v>1</v>
      </c>
      <c r="N127" s="56">
        <v>12</v>
      </c>
      <c r="O127" s="57">
        <v>12000</v>
      </c>
      <c r="P127" s="56">
        <v>0</v>
      </c>
      <c r="Q127" s="56">
        <v>0</v>
      </c>
      <c r="R127" s="56">
        <v>1</v>
      </c>
      <c r="S127" s="56">
        <v>12</v>
      </c>
      <c r="T127" s="56">
        <v>0</v>
      </c>
      <c r="U127" s="56">
        <v>0</v>
      </c>
      <c r="V127" s="56">
        <v>1</v>
      </c>
      <c r="W127" s="56">
        <v>12</v>
      </c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</row>
    <row r="128" spans="1:39" x14ac:dyDescent="0.4">
      <c r="A128" s="56"/>
      <c r="B128" s="59"/>
      <c r="C128" s="56"/>
      <c r="D128" s="56"/>
      <c r="E128" s="56"/>
      <c r="F128" s="57"/>
      <c r="G128" s="57"/>
      <c r="H128" s="57"/>
      <c r="I128" s="56"/>
      <c r="J128" s="56"/>
      <c r="K128" s="56"/>
      <c r="L128" s="56" t="s">
        <v>798</v>
      </c>
      <c r="M128" s="56">
        <v>0.2</v>
      </c>
      <c r="N128" s="56">
        <v>2</v>
      </c>
      <c r="O128" s="57">
        <v>400</v>
      </c>
      <c r="P128" s="56">
        <v>0</v>
      </c>
      <c r="Q128" s="56">
        <v>0</v>
      </c>
      <c r="R128" s="56">
        <v>0.2</v>
      </c>
      <c r="S128" s="56">
        <v>0.4</v>
      </c>
      <c r="T128" s="56">
        <v>0</v>
      </c>
      <c r="U128" s="56">
        <v>0</v>
      </c>
      <c r="V128" s="56">
        <v>0.2</v>
      </c>
      <c r="W128" s="56">
        <v>0.4</v>
      </c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</row>
    <row r="129" spans="1:39" x14ac:dyDescent="0.4">
      <c r="A129" s="56"/>
      <c r="B129" s="59"/>
      <c r="C129" s="56"/>
      <c r="D129" s="56"/>
      <c r="E129" s="56"/>
      <c r="F129" s="57"/>
      <c r="G129" s="57"/>
      <c r="H129" s="57"/>
      <c r="I129" s="56"/>
      <c r="J129" s="56"/>
      <c r="K129" s="56"/>
      <c r="L129" s="56" t="s">
        <v>799</v>
      </c>
      <c r="M129" s="56">
        <v>0.4</v>
      </c>
      <c r="N129" s="56">
        <v>2</v>
      </c>
      <c r="O129" s="57">
        <v>800</v>
      </c>
      <c r="P129" s="56">
        <v>0</v>
      </c>
      <c r="Q129" s="56">
        <v>0</v>
      </c>
      <c r="R129" s="56">
        <v>0.4</v>
      </c>
      <c r="S129" s="56">
        <v>0.8</v>
      </c>
      <c r="T129" s="56">
        <v>0</v>
      </c>
      <c r="U129" s="56">
        <v>0</v>
      </c>
      <c r="V129" s="56">
        <v>0.4</v>
      </c>
      <c r="W129" s="56">
        <v>0.8</v>
      </c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</row>
    <row r="130" spans="1:39" x14ac:dyDescent="0.4">
      <c r="A130" s="56"/>
      <c r="B130" s="59"/>
      <c r="C130" s="56"/>
      <c r="D130" s="56"/>
      <c r="E130" s="56"/>
      <c r="F130" s="57"/>
      <c r="G130" s="57"/>
      <c r="H130" s="57"/>
      <c r="I130" s="56"/>
      <c r="J130" s="56"/>
      <c r="K130" s="56"/>
      <c r="L130" s="56" t="s">
        <v>800</v>
      </c>
      <c r="M130" s="56">
        <v>1.4</v>
      </c>
      <c r="N130" s="56">
        <v>68</v>
      </c>
      <c r="O130" s="57">
        <v>95200</v>
      </c>
      <c r="P130" s="56">
        <v>0</v>
      </c>
      <c r="Q130" s="56">
        <v>0</v>
      </c>
      <c r="R130" s="56">
        <v>1.4</v>
      </c>
      <c r="S130" s="56">
        <v>95.2</v>
      </c>
      <c r="T130" s="56">
        <v>0</v>
      </c>
      <c r="U130" s="56">
        <v>0</v>
      </c>
      <c r="V130" s="56">
        <v>1.4</v>
      </c>
      <c r="W130" s="56">
        <v>95.2</v>
      </c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</row>
    <row r="131" spans="1:39" x14ac:dyDescent="0.4">
      <c r="A131" s="56"/>
      <c r="B131" s="59"/>
      <c r="C131" s="56"/>
      <c r="D131" s="56"/>
      <c r="E131" s="56"/>
      <c r="F131" s="57"/>
      <c r="G131" s="57"/>
      <c r="H131" s="57"/>
      <c r="I131" s="56"/>
      <c r="J131" s="56"/>
      <c r="K131" s="56"/>
      <c r="L131" s="56" t="s">
        <v>832</v>
      </c>
      <c r="M131" s="56">
        <v>0.3</v>
      </c>
      <c r="N131" s="56">
        <v>2</v>
      </c>
      <c r="O131" s="57">
        <v>600</v>
      </c>
      <c r="P131" s="56">
        <v>0</v>
      </c>
      <c r="Q131" s="56">
        <v>0</v>
      </c>
      <c r="R131" s="56">
        <v>0.3</v>
      </c>
      <c r="S131" s="56">
        <v>0.6</v>
      </c>
      <c r="T131" s="56">
        <v>0</v>
      </c>
      <c r="U131" s="56">
        <v>0</v>
      </c>
      <c r="V131" s="56">
        <v>0.3</v>
      </c>
      <c r="W131" s="56">
        <v>0.6</v>
      </c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</row>
    <row r="132" spans="1:39" x14ac:dyDescent="0.4">
      <c r="A132" s="56"/>
      <c r="B132" s="59"/>
      <c r="C132" s="56"/>
      <c r="D132" s="56"/>
      <c r="E132" s="56"/>
      <c r="F132" s="57"/>
      <c r="G132" s="57"/>
      <c r="H132" s="57"/>
      <c r="I132" s="56"/>
      <c r="J132" s="56"/>
      <c r="K132" s="56"/>
      <c r="L132" s="56" t="s">
        <v>801</v>
      </c>
      <c r="M132" s="56">
        <v>1</v>
      </c>
      <c r="N132" s="56">
        <v>5</v>
      </c>
      <c r="O132" s="57">
        <v>5000</v>
      </c>
      <c r="P132" s="56">
        <v>0</v>
      </c>
      <c r="Q132" s="56">
        <v>0</v>
      </c>
      <c r="R132" s="56">
        <v>1</v>
      </c>
      <c r="S132" s="56">
        <v>5</v>
      </c>
      <c r="T132" s="56">
        <v>0</v>
      </c>
      <c r="U132" s="56">
        <v>0</v>
      </c>
      <c r="V132" s="56">
        <v>1</v>
      </c>
      <c r="W132" s="56">
        <v>5</v>
      </c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</row>
    <row r="133" spans="1:39" x14ac:dyDescent="0.4">
      <c r="A133" s="56"/>
      <c r="B133" s="59"/>
      <c r="C133" s="56"/>
      <c r="D133" s="56"/>
      <c r="E133" s="56"/>
      <c r="F133" s="57"/>
      <c r="G133" s="57"/>
      <c r="H133" s="57"/>
      <c r="I133" s="56"/>
      <c r="J133" s="56"/>
      <c r="K133" s="56"/>
      <c r="L133" s="56" t="s">
        <v>802</v>
      </c>
      <c r="M133" s="56">
        <v>0.2</v>
      </c>
      <c r="N133" s="56">
        <v>2</v>
      </c>
      <c r="O133" s="57">
        <v>400</v>
      </c>
      <c r="P133" s="56">
        <v>0</v>
      </c>
      <c r="Q133" s="56">
        <v>0</v>
      </c>
      <c r="R133" s="56">
        <v>0.2</v>
      </c>
      <c r="S133" s="56">
        <v>0.4</v>
      </c>
      <c r="T133" s="56">
        <v>0</v>
      </c>
      <c r="U133" s="56">
        <v>0</v>
      </c>
      <c r="V133" s="56">
        <v>0.2</v>
      </c>
      <c r="W133" s="56">
        <v>0.4</v>
      </c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</row>
    <row r="134" spans="1:39" x14ac:dyDescent="0.4">
      <c r="A134" s="56"/>
      <c r="B134" s="59"/>
      <c r="C134" s="56"/>
      <c r="D134" s="56"/>
      <c r="E134" s="56"/>
      <c r="F134" s="57"/>
      <c r="G134" s="57"/>
      <c r="H134" s="57"/>
      <c r="I134" s="56"/>
      <c r="J134" s="56"/>
      <c r="K134" s="56"/>
      <c r="L134" s="56" t="s">
        <v>803</v>
      </c>
      <c r="M134" s="56">
        <v>1</v>
      </c>
      <c r="N134" s="56">
        <v>8</v>
      </c>
      <c r="O134" s="57">
        <v>8000</v>
      </c>
      <c r="P134" s="56">
        <v>0</v>
      </c>
      <c r="Q134" s="56">
        <v>0</v>
      </c>
      <c r="R134" s="56">
        <v>1</v>
      </c>
      <c r="S134" s="56">
        <v>8</v>
      </c>
      <c r="T134" s="58">
        <v>0</v>
      </c>
      <c r="U134" s="56">
        <v>0</v>
      </c>
      <c r="V134" s="56">
        <v>1</v>
      </c>
      <c r="W134" s="56">
        <v>8</v>
      </c>
      <c r="X134" s="56"/>
      <c r="Y134" s="56"/>
      <c r="Z134" s="56"/>
      <c r="AA134" s="58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</row>
    <row r="135" spans="1:39" x14ac:dyDescent="0.4">
      <c r="A135" s="56"/>
      <c r="B135" s="59"/>
      <c r="C135" s="56"/>
      <c r="D135" s="56"/>
      <c r="E135" s="56"/>
      <c r="F135" s="57"/>
      <c r="G135" s="57"/>
      <c r="H135" s="57"/>
      <c r="I135" s="56"/>
      <c r="J135" s="56"/>
      <c r="K135" s="56"/>
      <c r="L135" s="56" t="s">
        <v>431</v>
      </c>
      <c r="M135" s="56">
        <v>6</v>
      </c>
      <c r="N135" s="56">
        <v>45</v>
      </c>
      <c r="O135" s="57">
        <v>270000</v>
      </c>
      <c r="P135" s="56">
        <v>6</v>
      </c>
      <c r="Q135" s="56">
        <v>270</v>
      </c>
      <c r="R135" s="56">
        <v>0</v>
      </c>
      <c r="S135" s="56">
        <v>0</v>
      </c>
      <c r="T135" s="56">
        <v>6</v>
      </c>
      <c r="U135" s="56">
        <v>270</v>
      </c>
      <c r="V135" s="56">
        <v>0</v>
      </c>
      <c r="W135" s="56">
        <v>0</v>
      </c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</row>
    <row r="136" spans="1:39" x14ac:dyDescent="0.4">
      <c r="A136" s="56"/>
      <c r="B136" s="59"/>
      <c r="C136" s="56"/>
      <c r="D136" s="56"/>
      <c r="E136" s="56"/>
      <c r="F136" s="57"/>
      <c r="G136" s="57"/>
      <c r="H136" s="57"/>
      <c r="I136" s="56"/>
      <c r="J136" s="56"/>
      <c r="K136" s="56"/>
      <c r="L136" s="56" t="s">
        <v>760</v>
      </c>
      <c r="M136" s="56">
        <v>0.2</v>
      </c>
      <c r="N136" s="56">
        <v>66</v>
      </c>
      <c r="O136" s="57">
        <v>13200</v>
      </c>
      <c r="P136" s="56">
        <v>0</v>
      </c>
      <c r="Q136" s="56">
        <v>0</v>
      </c>
      <c r="R136" s="56">
        <v>0.2</v>
      </c>
      <c r="S136" s="56">
        <v>13.2</v>
      </c>
      <c r="T136" s="56">
        <v>0</v>
      </c>
      <c r="U136" s="56">
        <v>0</v>
      </c>
      <c r="V136" s="56">
        <v>0.2</v>
      </c>
      <c r="W136" s="56">
        <v>13.2</v>
      </c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</row>
    <row r="137" spans="1:39" x14ac:dyDescent="0.4">
      <c r="A137" s="56"/>
      <c r="B137" s="59"/>
      <c r="C137" s="56"/>
      <c r="D137" s="56"/>
      <c r="E137" s="56"/>
      <c r="F137" s="57"/>
      <c r="G137" s="57"/>
      <c r="H137" s="57"/>
      <c r="I137" s="56"/>
      <c r="J137" s="56"/>
      <c r="K137" s="56"/>
      <c r="L137" s="56" t="s">
        <v>432</v>
      </c>
      <c r="M137" s="56">
        <v>0.4</v>
      </c>
      <c r="N137" s="56">
        <v>17</v>
      </c>
      <c r="O137" s="57">
        <v>6800</v>
      </c>
      <c r="P137" s="56">
        <v>0</v>
      </c>
      <c r="Q137" s="56">
        <v>0</v>
      </c>
      <c r="R137" s="56">
        <v>0.4</v>
      </c>
      <c r="S137" s="56">
        <v>6.8</v>
      </c>
      <c r="T137" s="56">
        <v>0</v>
      </c>
      <c r="U137" s="56">
        <v>0</v>
      </c>
      <c r="V137" s="56">
        <v>0.4</v>
      </c>
      <c r="W137" s="56">
        <v>6.8</v>
      </c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</row>
    <row r="138" spans="1:39" x14ac:dyDescent="0.4">
      <c r="A138" s="56"/>
      <c r="B138" s="59"/>
      <c r="C138" s="56"/>
      <c r="D138" s="56"/>
      <c r="E138" s="56"/>
      <c r="F138" s="57"/>
      <c r="G138" s="57"/>
      <c r="H138" s="57"/>
      <c r="I138" s="56"/>
      <c r="J138" s="56"/>
      <c r="K138" s="56"/>
      <c r="L138" s="56" t="s">
        <v>433</v>
      </c>
      <c r="M138" s="56">
        <v>0.1</v>
      </c>
      <c r="N138" s="56">
        <v>1</v>
      </c>
      <c r="O138" s="57">
        <v>100</v>
      </c>
      <c r="P138" s="56">
        <v>0</v>
      </c>
      <c r="Q138" s="56">
        <v>0</v>
      </c>
      <c r="R138" s="56">
        <v>0.1</v>
      </c>
      <c r="S138" s="56">
        <v>0.1</v>
      </c>
      <c r="T138" s="56">
        <v>0</v>
      </c>
      <c r="U138" s="56">
        <v>0</v>
      </c>
      <c r="V138" s="56">
        <v>0.1</v>
      </c>
      <c r="W138" s="56">
        <v>0.1</v>
      </c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</row>
    <row r="139" spans="1:39" x14ac:dyDescent="0.4">
      <c r="A139" s="56"/>
      <c r="B139" s="59"/>
      <c r="C139" s="56"/>
      <c r="D139" s="56"/>
      <c r="E139" s="56"/>
      <c r="F139" s="57"/>
      <c r="G139" s="57"/>
      <c r="H139" s="57"/>
      <c r="I139" s="56"/>
      <c r="J139" s="56"/>
      <c r="K139" s="56"/>
      <c r="L139" s="56" t="s">
        <v>804</v>
      </c>
      <c r="M139" s="56">
        <v>0.2</v>
      </c>
      <c r="N139" s="56">
        <v>79</v>
      </c>
      <c r="O139" s="57">
        <v>15800</v>
      </c>
      <c r="P139" s="56">
        <v>0</v>
      </c>
      <c r="Q139" s="56">
        <v>0</v>
      </c>
      <c r="R139" s="56">
        <v>0.2</v>
      </c>
      <c r="S139" s="56">
        <v>15.8</v>
      </c>
      <c r="T139" s="56">
        <v>0</v>
      </c>
      <c r="U139" s="56">
        <v>0</v>
      </c>
      <c r="V139" s="56">
        <v>0.2</v>
      </c>
      <c r="W139" s="56">
        <v>15.8</v>
      </c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</row>
    <row r="140" spans="1:39" x14ac:dyDescent="0.4">
      <c r="A140" s="56"/>
      <c r="B140" s="59"/>
      <c r="C140" s="56"/>
      <c r="D140" s="56"/>
      <c r="E140" s="56"/>
      <c r="F140" s="57"/>
      <c r="G140" s="57"/>
      <c r="H140" s="57"/>
      <c r="I140" s="56"/>
      <c r="J140" s="56"/>
      <c r="K140" s="56"/>
      <c r="L140" s="56" t="s">
        <v>805</v>
      </c>
      <c r="M140" s="56">
        <v>0.4</v>
      </c>
      <c r="N140" s="56">
        <v>11</v>
      </c>
      <c r="O140" s="57">
        <v>4400</v>
      </c>
      <c r="P140" s="56">
        <v>0</v>
      </c>
      <c r="Q140" s="56">
        <v>0</v>
      </c>
      <c r="R140" s="56">
        <v>0.4</v>
      </c>
      <c r="S140" s="56">
        <v>4.4000000000000004</v>
      </c>
      <c r="T140" s="56">
        <v>0</v>
      </c>
      <c r="U140" s="56">
        <v>0</v>
      </c>
      <c r="V140" s="56">
        <v>0.4</v>
      </c>
      <c r="W140" s="56">
        <v>4.4000000000000004</v>
      </c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</row>
    <row r="141" spans="1:39" x14ac:dyDescent="0.4">
      <c r="A141" s="56"/>
      <c r="B141" s="59"/>
      <c r="C141" s="56"/>
      <c r="D141" s="56"/>
      <c r="E141" s="56"/>
      <c r="F141" s="57"/>
      <c r="G141" s="57"/>
      <c r="H141" s="57"/>
      <c r="I141" s="56"/>
      <c r="J141" s="57"/>
      <c r="K141" s="56"/>
      <c r="L141" s="56" t="s">
        <v>806</v>
      </c>
      <c r="M141" s="56">
        <v>0</v>
      </c>
      <c r="N141" s="57">
        <v>8</v>
      </c>
      <c r="O141" s="57">
        <v>0</v>
      </c>
      <c r="P141" s="56">
        <v>0.2</v>
      </c>
      <c r="Q141" s="56">
        <v>1.6</v>
      </c>
      <c r="R141" s="56">
        <v>-0.2</v>
      </c>
      <c r="S141" s="56">
        <v>-1.6</v>
      </c>
      <c r="T141" s="56">
        <v>0.2</v>
      </c>
      <c r="U141" s="56">
        <v>1.6</v>
      </c>
      <c r="V141" s="56">
        <v>-0.2</v>
      </c>
      <c r="W141" s="56">
        <v>-1.6</v>
      </c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</row>
    <row r="142" spans="1:39" x14ac:dyDescent="0.4">
      <c r="A142" s="56"/>
      <c r="B142" s="59"/>
      <c r="C142" s="56"/>
      <c r="D142" s="56"/>
      <c r="E142" s="56"/>
      <c r="F142" s="57"/>
      <c r="G142" s="57"/>
      <c r="H142" s="57"/>
      <c r="I142" s="56"/>
      <c r="J142" s="56"/>
      <c r="K142" s="56"/>
      <c r="L142" s="56" t="s">
        <v>761</v>
      </c>
      <c r="M142" s="56">
        <v>-0.1</v>
      </c>
      <c r="N142" s="56">
        <v>10</v>
      </c>
      <c r="O142" s="57">
        <v>-1000</v>
      </c>
      <c r="P142" s="56">
        <v>-0.1</v>
      </c>
      <c r="Q142" s="56">
        <v>-1</v>
      </c>
      <c r="R142" s="56">
        <v>0</v>
      </c>
      <c r="S142" s="56">
        <v>0</v>
      </c>
      <c r="T142" s="56">
        <v>-0.1</v>
      </c>
      <c r="U142" s="56">
        <v>-1</v>
      </c>
      <c r="V142" s="56">
        <v>0</v>
      </c>
      <c r="W142" s="56">
        <v>0</v>
      </c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</row>
    <row r="143" spans="1:39" x14ac:dyDescent="0.4">
      <c r="A143" s="56"/>
      <c r="B143" s="59"/>
      <c r="C143" s="56"/>
      <c r="D143" s="56"/>
      <c r="E143" s="56"/>
      <c r="F143" s="57"/>
      <c r="G143" s="57"/>
      <c r="H143" s="57"/>
      <c r="I143" s="56"/>
      <c r="J143" s="56"/>
      <c r="K143" s="56"/>
      <c r="L143" s="56" t="s">
        <v>434</v>
      </c>
      <c r="M143" s="56"/>
      <c r="N143" s="56"/>
      <c r="O143" s="57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</row>
    <row r="144" spans="1:39" x14ac:dyDescent="0.4">
      <c r="A144" s="56"/>
      <c r="B144" s="59"/>
      <c r="C144" s="56"/>
      <c r="D144" s="56"/>
      <c r="E144" s="56"/>
      <c r="F144" s="57"/>
      <c r="G144" s="57"/>
      <c r="H144" s="57"/>
      <c r="I144" s="56"/>
      <c r="J144" s="58"/>
      <c r="K144" s="56"/>
      <c r="L144" s="56" t="s">
        <v>435</v>
      </c>
      <c r="M144" s="56">
        <v>7</v>
      </c>
      <c r="N144" s="58">
        <v>4</v>
      </c>
      <c r="O144" s="57">
        <v>28000</v>
      </c>
      <c r="P144" s="56">
        <v>7</v>
      </c>
      <c r="Q144" s="56">
        <v>28</v>
      </c>
      <c r="R144" s="56">
        <v>0</v>
      </c>
      <c r="S144" s="56">
        <v>0</v>
      </c>
      <c r="T144" s="56">
        <v>7</v>
      </c>
      <c r="U144" s="56">
        <v>28</v>
      </c>
      <c r="V144" s="56">
        <v>0</v>
      </c>
      <c r="W144" s="56">
        <v>0</v>
      </c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</row>
    <row r="145" spans="1:39" x14ac:dyDescent="0.4">
      <c r="A145" s="56"/>
      <c r="B145" s="59"/>
      <c r="C145" s="56"/>
      <c r="D145" s="56"/>
      <c r="E145" s="56"/>
      <c r="F145" s="57"/>
      <c r="G145" s="57"/>
      <c r="H145" s="57"/>
      <c r="I145" s="56"/>
      <c r="J145" s="56"/>
      <c r="K145" s="56"/>
      <c r="L145" s="56" t="s">
        <v>781</v>
      </c>
      <c r="M145" s="56">
        <v>1.8</v>
      </c>
      <c r="N145" s="56">
        <v>4</v>
      </c>
      <c r="O145" s="57">
        <v>7200</v>
      </c>
      <c r="P145" s="56">
        <v>1.6</v>
      </c>
      <c r="Q145" s="56">
        <v>6.4</v>
      </c>
      <c r="R145" s="56">
        <v>0.2</v>
      </c>
      <c r="S145" s="56">
        <v>0.8</v>
      </c>
      <c r="T145" s="56">
        <v>1.6</v>
      </c>
      <c r="U145" s="56">
        <v>6.4</v>
      </c>
      <c r="V145" s="56">
        <v>0.2</v>
      </c>
      <c r="W145" s="56">
        <v>0.8</v>
      </c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</row>
    <row r="146" spans="1:39" x14ac:dyDescent="0.4">
      <c r="A146" s="56"/>
      <c r="B146" s="59"/>
      <c r="C146" s="56"/>
      <c r="D146" s="56"/>
      <c r="E146" s="56"/>
      <c r="F146" s="57"/>
      <c r="G146" s="57"/>
      <c r="H146" s="57"/>
      <c r="I146" s="56"/>
      <c r="J146" s="56"/>
      <c r="K146" s="56"/>
      <c r="L146" s="56" t="s">
        <v>436</v>
      </c>
      <c r="M146" s="56"/>
      <c r="N146" s="56"/>
      <c r="O146" s="57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</row>
    <row r="147" spans="1:39" x14ac:dyDescent="0.4">
      <c r="A147" s="56"/>
      <c r="B147" s="59"/>
      <c r="C147" s="56"/>
      <c r="D147" s="56"/>
      <c r="E147" s="56"/>
      <c r="F147" s="57"/>
      <c r="G147" s="57"/>
      <c r="H147" s="57"/>
      <c r="I147" s="56"/>
      <c r="J147" s="56"/>
      <c r="K147" s="56"/>
      <c r="L147" s="56" t="s">
        <v>437</v>
      </c>
      <c r="M147" s="56">
        <v>13.7</v>
      </c>
      <c r="N147" s="56">
        <v>45</v>
      </c>
      <c r="O147" s="57">
        <v>616500</v>
      </c>
      <c r="P147" s="56">
        <v>13.7</v>
      </c>
      <c r="Q147" s="56">
        <v>616.5</v>
      </c>
      <c r="R147" s="56">
        <v>0</v>
      </c>
      <c r="S147" s="56">
        <v>0</v>
      </c>
      <c r="T147" s="56">
        <v>13.7</v>
      </c>
      <c r="U147" s="56">
        <v>616.5</v>
      </c>
      <c r="V147" s="56">
        <v>0</v>
      </c>
      <c r="W147" s="56">
        <v>0</v>
      </c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</row>
    <row r="148" spans="1:39" x14ac:dyDescent="0.4">
      <c r="A148" s="56"/>
      <c r="B148" s="59"/>
      <c r="C148" s="56"/>
      <c r="D148" s="56"/>
      <c r="E148" s="56"/>
      <c r="F148" s="57"/>
      <c r="G148" s="57"/>
      <c r="H148" s="57"/>
      <c r="I148" s="56"/>
      <c r="J148" s="56"/>
      <c r="K148" s="56"/>
      <c r="L148" s="56" t="s">
        <v>438</v>
      </c>
      <c r="M148" s="56"/>
      <c r="N148" s="56"/>
      <c r="O148" s="57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</row>
    <row r="149" spans="1:39" x14ac:dyDescent="0.4">
      <c r="A149" s="56"/>
      <c r="B149" s="59"/>
      <c r="C149" s="56"/>
      <c r="D149" s="56"/>
      <c r="E149" s="56"/>
      <c r="F149" s="57"/>
      <c r="G149" s="57"/>
      <c r="H149" s="57"/>
      <c r="I149" s="56"/>
      <c r="J149" s="56"/>
      <c r="K149" s="56"/>
      <c r="L149" s="56" t="s">
        <v>439</v>
      </c>
      <c r="M149" s="56">
        <v>0.7</v>
      </c>
      <c r="N149" s="56">
        <v>20</v>
      </c>
      <c r="O149" s="57">
        <v>14000</v>
      </c>
      <c r="P149" s="56">
        <v>0.7</v>
      </c>
      <c r="Q149" s="56">
        <v>14</v>
      </c>
      <c r="R149" s="56">
        <v>0</v>
      </c>
      <c r="S149" s="56">
        <v>0</v>
      </c>
      <c r="T149" s="56">
        <v>0.7</v>
      </c>
      <c r="U149" s="56">
        <v>14</v>
      </c>
      <c r="V149" s="56">
        <v>0</v>
      </c>
      <c r="W149" s="56">
        <v>0</v>
      </c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</row>
    <row r="150" spans="1:39" x14ac:dyDescent="0.4">
      <c r="A150" s="56"/>
      <c r="B150" s="59"/>
      <c r="C150" s="56"/>
      <c r="D150" s="56"/>
      <c r="E150" s="56"/>
      <c r="F150" s="57"/>
      <c r="G150" s="57"/>
      <c r="H150" s="57"/>
      <c r="I150" s="56"/>
      <c r="J150" s="56"/>
      <c r="K150" s="56"/>
      <c r="L150" s="56" t="s">
        <v>440</v>
      </c>
      <c r="M150" s="56">
        <v>2.6</v>
      </c>
      <c r="N150" s="56">
        <v>17.5</v>
      </c>
      <c r="O150" s="57">
        <v>45500</v>
      </c>
      <c r="P150" s="56">
        <v>0</v>
      </c>
      <c r="Q150" s="56">
        <v>0</v>
      </c>
      <c r="R150" s="56">
        <v>2.6</v>
      </c>
      <c r="S150" s="56">
        <v>45.5</v>
      </c>
      <c r="T150" s="56">
        <v>0</v>
      </c>
      <c r="U150" s="56">
        <v>0</v>
      </c>
      <c r="V150" s="56">
        <v>2.6</v>
      </c>
      <c r="W150" s="56">
        <v>45.5</v>
      </c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</row>
    <row r="151" spans="1:39" x14ac:dyDescent="0.4">
      <c r="A151" s="56"/>
      <c r="B151" s="59"/>
      <c r="C151" s="56"/>
      <c r="D151" s="56"/>
      <c r="E151" s="56"/>
      <c r="F151" s="57"/>
      <c r="G151" s="57"/>
      <c r="H151" s="57"/>
      <c r="I151" s="56"/>
      <c r="J151" s="56"/>
      <c r="K151" s="56"/>
      <c r="L151" s="56" t="s">
        <v>807</v>
      </c>
      <c r="M151" s="56">
        <v>2.6</v>
      </c>
      <c r="N151" s="56">
        <v>19.3</v>
      </c>
      <c r="O151" s="57">
        <v>50180</v>
      </c>
      <c r="P151" s="56">
        <v>0</v>
      </c>
      <c r="Q151" s="56">
        <v>0</v>
      </c>
      <c r="R151" s="56">
        <v>2.6</v>
      </c>
      <c r="S151" s="56">
        <v>50.18</v>
      </c>
      <c r="T151" s="56">
        <v>0</v>
      </c>
      <c r="U151" s="56">
        <v>0</v>
      </c>
      <c r="V151" s="56">
        <v>2.6</v>
      </c>
      <c r="W151" s="56">
        <v>50.18</v>
      </c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</row>
    <row r="152" spans="1:39" x14ac:dyDescent="0.4">
      <c r="A152" s="56"/>
      <c r="B152" s="59"/>
      <c r="C152" s="56"/>
      <c r="D152" s="56"/>
      <c r="E152" s="56"/>
      <c r="F152" s="57"/>
      <c r="G152" s="57"/>
      <c r="H152" s="57"/>
      <c r="I152" s="56"/>
      <c r="J152" s="56"/>
      <c r="K152" s="56"/>
      <c r="L152" s="56" t="s">
        <v>441</v>
      </c>
      <c r="M152" s="56">
        <v>3.8</v>
      </c>
      <c r="N152" s="56">
        <v>3.9</v>
      </c>
      <c r="O152" s="57">
        <v>14820</v>
      </c>
      <c r="P152" s="56">
        <v>0</v>
      </c>
      <c r="Q152" s="56">
        <v>0</v>
      </c>
      <c r="R152" s="56">
        <v>3.8</v>
      </c>
      <c r="S152" s="56">
        <v>14.82</v>
      </c>
      <c r="T152" s="56">
        <v>0</v>
      </c>
      <c r="U152" s="56">
        <v>0</v>
      </c>
      <c r="V152" s="56">
        <v>3.8</v>
      </c>
      <c r="W152" s="56">
        <v>14.82</v>
      </c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</row>
    <row r="153" spans="1:39" x14ac:dyDescent="0.4">
      <c r="A153" s="56"/>
      <c r="B153" s="59"/>
      <c r="C153" s="56"/>
      <c r="D153" s="56"/>
      <c r="E153" s="56"/>
      <c r="F153" s="57"/>
      <c r="G153" s="57"/>
      <c r="H153" s="57"/>
      <c r="I153" s="56"/>
      <c r="J153" s="56"/>
      <c r="K153" s="56"/>
      <c r="L153" s="56" t="s">
        <v>808</v>
      </c>
      <c r="M153" s="56">
        <v>3.8</v>
      </c>
      <c r="N153" s="56">
        <v>0.7</v>
      </c>
      <c r="O153" s="57">
        <v>2660</v>
      </c>
      <c r="P153" s="56">
        <v>0</v>
      </c>
      <c r="Q153" s="56">
        <v>0</v>
      </c>
      <c r="R153" s="56">
        <v>3.8</v>
      </c>
      <c r="S153" s="56">
        <v>2.66</v>
      </c>
      <c r="T153" s="56">
        <v>0</v>
      </c>
      <c r="U153" s="56">
        <v>0</v>
      </c>
      <c r="V153" s="56">
        <v>3.8</v>
      </c>
      <c r="W153" s="56">
        <v>2.66</v>
      </c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</row>
    <row r="154" spans="1:39" x14ac:dyDescent="0.4">
      <c r="A154" s="56"/>
      <c r="B154" s="59"/>
      <c r="C154" s="56"/>
      <c r="D154" s="56"/>
      <c r="E154" s="56"/>
      <c r="F154" s="57"/>
      <c r="G154" s="57"/>
      <c r="H154" s="57"/>
      <c r="I154" s="56"/>
      <c r="J154" s="56"/>
      <c r="K154" s="56"/>
      <c r="L154" s="56" t="s">
        <v>442</v>
      </c>
      <c r="M154" s="56">
        <v>0.3</v>
      </c>
      <c r="N154" s="56">
        <v>5</v>
      </c>
      <c r="O154" s="57">
        <v>1500</v>
      </c>
      <c r="P154" s="56">
        <v>0</v>
      </c>
      <c r="Q154" s="56">
        <v>0</v>
      </c>
      <c r="R154" s="56">
        <v>0.3</v>
      </c>
      <c r="S154" s="56">
        <v>1.5</v>
      </c>
      <c r="T154" s="56">
        <v>0</v>
      </c>
      <c r="U154" s="56">
        <v>0</v>
      </c>
      <c r="V154" s="56">
        <v>0.3</v>
      </c>
      <c r="W154" s="56">
        <v>1.5</v>
      </c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</row>
    <row r="155" spans="1:39" x14ac:dyDescent="0.4">
      <c r="A155" s="56"/>
      <c r="B155" s="59"/>
      <c r="C155" s="56"/>
      <c r="D155" s="56"/>
      <c r="E155" s="56"/>
      <c r="F155" s="57"/>
      <c r="G155" s="57"/>
      <c r="H155" s="57"/>
      <c r="I155" s="56"/>
      <c r="J155" s="56"/>
      <c r="K155" s="56"/>
      <c r="L155" s="56" t="s">
        <v>443</v>
      </c>
      <c r="M155" s="56"/>
      <c r="N155" s="56"/>
      <c r="O155" s="57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</row>
    <row r="156" spans="1:39" x14ac:dyDescent="0.4">
      <c r="A156" s="56"/>
      <c r="B156" s="59"/>
      <c r="C156" s="56"/>
      <c r="D156" s="56"/>
      <c r="E156" s="56"/>
      <c r="F156" s="57"/>
      <c r="G156" s="57"/>
      <c r="H156" s="57"/>
      <c r="I156" s="56"/>
      <c r="J156" s="56"/>
      <c r="K156" s="56"/>
      <c r="L156" s="56" t="s">
        <v>833</v>
      </c>
      <c r="M156" s="56"/>
      <c r="N156" s="56"/>
      <c r="O156" s="57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</row>
    <row r="157" spans="1:39" x14ac:dyDescent="0.4">
      <c r="A157" s="56"/>
      <c r="B157" s="59"/>
      <c r="C157" s="56"/>
      <c r="D157" s="56"/>
      <c r="E157" s="56"/>
      <c r="F157" s="57"/>
      <c r="G157" s="57"/>
      <c r="H157" s="57"/>
      <c r="I157" s="56"/>
      <c r="J157" s="56"/>
      <c r="K157" s="56"/>
      <c r="L157" s="56" t="s">
        <v>834</v>
      </c>
      <c r="M157" s="56">
        <v>0.8</v>
      </c>
      <c r="N157" s="56">
        <v>17.5</v>
      </c>
      <c r="O157" s="57">
        <v>14000</v>
      </c>
      <c r="P157" s="56">
        <v>0</v>
      </c>
      <c r="Q157" s="56">
        <v>0</v>
      </c>
      <c r="R157" s="56">
        <v>0.8</v>
      </c>
      <c r="S157" s="56">
        <v>14</v>
      </c>
      <c r="T157" s="56">
        <v>0</v>
      </c>
      <c r="U157" s="56">
        <v>0</v>
      </c>
      <c r="V157" s="56">
        <v>0.8</v>
      </c>
      <c r="W157" s="56">
        <v>14</v>
      </c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</row>
    <row r="158" spans="1:39" x14ac:dyDescent="0.4">
      <c r="A158" s="56"/>
      <c r="B158" s="59"/>
      <c r="C158" s="56"/>
      <c r="D158" s="56"/>
      <c r="E158" s="56"/>
      <c r="F158" s="57"/>
      <c r="G158" s="57"/>
      <c r="H158" s="57"/>
      <c r="I158" s="56"/>
      <c r="J158" s="56"/>
      <c r="K158" s="56"/>
      <c r="L158" s="56" t="s">
        <v>809</v>
      </c>
      <c r="M158" s="56">
        <v>1.9</v>
      </c>
      <c r="N158" s="56">
        <v>20</v>
      </c>
      <c r="O158" s="57">
        <v>38000</v>
      </c>
      <c r="P158" s="56">
        <v>1.6</v>
      </c>
      <c r="Q158" s="56">
        <v>32</v>
      </c>
      <c r="R158" s="56">
        <v>0.3</v>
      </c>
      <c r="S158" s="56">
        <v>6</v>
      </c>
      <c r="T158" s="56">
        <v>1.6</v>
      </c>
      <c r="U158" s="56">
        <v>32</v>
      </c>
      <c r="V158" s="56">
        <v>0.3</v>
      </c>
      <c r="W158" s="56">
        <v>6</v>
      </c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</row>
    <row r="159" spans="1:39" x14ac:dyDescent="0.4">
      <c r="A159" s="56"/>
      <c r="B159" s="59"/>
      <c r="C159" s="56"/>
      <c r="D159" s="56"/>
      <c r="E159" s="56"/>
      <c r="F159" s="57"/>
      <c r="G159" s="57"/>
      <c r="H159" s="57"/>
      <c r="I159" s="56"/>
      <c r="J159" s="56"/>
      <c r="K159" s="56"/>
      <c r="L159" s="56" t="s">
        <v>444</v>
      </c>
      <c r="M159" s="56"/>
      <c r="N159" s="56"/>
      <c r="O159" s="57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</row>
    <row r="160" spans="1:39" x14ac:dyDescent="0.4">
      <c r="A160" s="56"/>
      <c r="B160" s="59"/>
      <c r="C160" s="56"/>
      <c r="D160" s="56"/>
      <c r="E160" s="56"/>
      <c r="F160" s="57"/>
      <c r="G160" s="57"/>
      <c r="H160" s="57"/>
      <c r="I160" s="56"/>
      <c r="J160" s="56"/>
      <c r="K160" s="56"/>
      <c r="L160" s="56" t="s">
        <v>445</v>
      </c>
      <c r="M160" s="56">
        <v>0.2</v>
      </c>
      <c r="N160" s="56">
        <v>35</v>
      </c>
      <c r="O160" s="57">
        <v>7000</v>
      </c>
      <c r="P160" s="56">
        <v>0</v>
      </c>
      <c r="Q160" s="56">
        <v>0</v>
      </c>
      <c r="R160" s="56">
        <v>0.2</v>
      </c>
      <c r="S160" s="56">
        <v>7</v>
      </c>
      <c r="T160" s="56">
        <v>0</v>
      </c>
      <c r="U160" s="56">
        <v>0</v>
      </c>
      <c r="V160" s="56">
        <v>0.2</v>
      </c>
      <c r="W160" s="56">
        <v>7</v>
      </c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</row>
    <row r="161" spans="1:39" x14ac:dyDescent="0.4">
      <c r="A161" s="56"/>
      <c r="B161" s="59"/>
      <c r="C161" s="56"/>
      <c r="D161" s="56"/>
      <c r="E161" s="56"/>
      <c r="F161" s="57"/>
      <c r="G161" s="57"/>
      <c r="H161" s="57"/>
      <c r="I161" s="56"/>
      <c r="J161" s="56"/>
      <c r="K161" s="56"/>
      <c r="L161" s="56" t="s">
        <v>446</v>
      </c>
      <c r="M161" s="56">
        <v>0.2</v>
      </c>
      <c r="N161" s="56">
        <v>17</v>
      </c>
      <c r="O161" s="57">
        <v>3400</v>
      </c>
      <c r="P161" s="56">
        <v>0</v>
      </c>
      <c r="Q161" s="56">
        <v>0</v>
      </c>
      <c r="R161" s="56">
        <v>0.2</v>
      </c>
      <c r="S161" s="56">
        <v>3.4</v>
      </c>
      <c r="T161" s="56">
        <v>0</v>
      </c>
      <c r="U161" s="56">
        <v>0</v>
      </c>
      <c r="V161" s="56">
        <v>0.2</v>
      </c>
      <c r="W161" s="56">
        <v>3.4</v>
      </c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</row>
    <row r="162" spans="1:39" x14ac:dyDescent="0.4">
      <c r="A162" s="56"/>
      <c r="B162" s="59"/>
      <c r="C162" s="56"/>
      <c r="D162" s="56"/>
      <c r="E162" s="56"/>
      <c r="F162" s="57"/>
      <c r="G162" s="57"/>
      <c r="H162" s="57"/>
      <c r="I162" s="56"/>
      <c r="J162" s="56"/>
      <c r="K162" s="56"/>
      <c r="L162" s="56" t="s">
        <v>762</v>
      </c>
      <c r="M162" s="56">
        <v>0.1</v>
      </c>
      <c r="N162" s="56">
        <v>1</v>
      </c>
      <c r="O162" s="57">
        <v>100</v>
      </c>
      <c r="P162" s="56">
        <v>0</v>
      </c>
      <c r="Q162" s="56">
        <v>0</v>
      </c>
      <c r="R162" s="56">
        <v>0.1</v>
      </c>
      <c r="S162" s="56">
        <v>0.1</v>
      </c>
      <c r="T162" s="56">
        <v>0</v>
      </c>
      <c r="U162" s="56">
        <v>0</v>
      </c>
      <c r="V162" s="56">
        <v>0.1</v>
      </c>
      <c r="W162" s="56">
        <v>0.1</v>
      </c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</row>
    <row r="163" spans="1:39" x14ac:dyDescent="0.4">
      <c r="A163" s="56"/>
      <c r="B163" s="59"/>
      <c r="C163" s="56"/>
      <c r="D163" s="56"/>
      <c r="E163" s="56"/>
      <c r="F163" s="57"/>
      <c r="G163" s="57"/>
      <c r="H163" s="57"/>
      <c r="I163" s="56"/>
      <c r="J163" s="57"/>
      <c r="K163" s="56"/>
      <c r="L163" s="56" t="s">
        <v>835</v>
      </c>
      <c r="M163" s="56">
        <v>0.2</v>
      </c>
      <c r="N163" s="57">
        <v>53</v>
      </c>
      <c r="O163" s="57">
        <v>10600</v>
      </c>
      <c r="P163" s="56">
        <v>0</v>
      </c>
      <c r="Q163" s="56">
        <v>0</v>
      </c>
      <c r="R163" s="56">
        <v>0.2</v>
      </c>
      <c r="S163" s="56">
        <v>10.6</v>
      </c>
      <c r="T163" s="56">
        <v>0</v>
      </c>
      <c r="U163" s="56">
        <v>0</v>
      </c>
      <c r="V163" s="56">
        <v>0.2</v>
      </c>
      <c r="W163" s="56">
        <v>10.6</v>
      </c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</row>
    <row r="164" spans="1:39" x14ac:dyDescent="0.4">
      <c r="A164" s="56"/>
      <c r="B164" s="59"/>
      <c r="C164" s="56"/>
      <c r="D164" s="56"/>
      <c r="E164" s="56"/>
      <c r="F164" s="57"/>
      <c r="G164" s="57"/>
      <c r="H164" s="57"/>
      <c r="I164" s="56"/>
      <c r="J164" s="56"/>
      <c r="K164" s="56"/>
      <c r="L164" s="56" t="s">
        <v>836</v>
      </c>
      <c r="M164" s="56">
        <v>0.2</v>
      </c>
      <c r="N164" s="56">
        <v>12</v>
      </c>
      <c r="O164" s="57">
        <v>2400</v>
      </c>
      <c r="P164" s="56">
        <v>0</v>
      </c>
      <c r="Q164" s="56">
        <v>0</v>
      </c>
      <c r="R164" s="56">
        <v>0.2</v>
      </c>
      <c r="S164" s="56">
        <v>2.4</v>
      </c>
      <c r="T164" s="56">
        <v>0</v>
      </c>
      <c r="U164" s="56">
        <v>0</v>
      </c>
      <c r="V164" s="56">
        <v>0.2</v>
      </c>
      <c r="W164" s="56">
        <v>2.4</v>
      </c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</row>
    <row r="165" spans="1:39" x14ac:dyDescent="0.4">
      <c r="A165" s="56"/>
      <c r="B165" s="59"/>
      <c r="C165" s="56"/>
      <c r="D165" s="56"/>
      <c r="E165" s="56"/>
      <c r="F165" s="57"/>
      <c r="G165" s="57"/>
      <c r="H165" s="57"/>
      <c r="I165" s="56"/>
      <c r="J165" s="56"/>
      <c r="K165" s="56"/>
      <c r="L165" s="56" t="s">
        <v>836</v>
      </c>
      <c r="M165" s="56">
        <v>0.1</v>
      </c>
      <c r="N165" s="56">
        <v>3</v>
      </c>
      <c r="O165" s="57">
        <v>300</v>
      </c>
      <c r="P165" s="56">
        <v>0</v>
      </c>
      <c r="Q165" s="56">
        <v>0</v>
      </c>
      <c r="R165" s="56">
        <v>0.1</v>
      </c>
      <c r="S165" s="56">
        <v>0.3</v>
      </c>
      <c r="T165" s="56">
        <v>0</v>
      </c>
      <c r="U165" s="56">
        <v>0</v>
      </c>
      <c r="V165" s="56">
        <v>0.1</v>
      </c>
      <c r="W165" s="56">
        <v>0.3</v>
      </c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</row>
    <row r="166" spans="1:39" x14ac:dyDescent="0.4">
      <c r="A166" s="56"/>
      <c r="B166" s="59"/>
      <c r="C166" s="56"/>
      <c r="D166" s="56"/>
      <c r="E166" s="56"/>
      <c r="F166" s="57"/>
      <c r="G166" s="57"/>
      <c r="H166" s="57"/>
      <c r="I166" s="56"/>
      <c r="J166" s="56"/>
      <c r="K166" s="56"/>
      <c r="L166" s="56" t="s">
        <v>447</v>
      </c>
      <c r="M166" s="56"/>
      <c r="N166" s="56"/>
      <c r="O166" s="57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</row>
    <row r="167" spans="1:39" x14ac:dyDescent="0.4">
      <c r="A167" s="56"/>
      <c r="B167" s="59"/>
      <c r="C167" s="56"/>
      <c r="D167" s="56"/>
      <c r="E167" s="56"/>
      <c r="F167" s="57"/>
      <c r="G167" s="57"/>
      <c r="H167" s="57"/>
      <c r="I167" s="56"/>
      <c r="J167" s="56"/>
      <c r="K167" s="56"/>
      <c r="L167" s="56" t="s">
        <v>879</v>
      </c>
      <c r="M167" s="56">
        <v>26.4</v>
      </c>
      <c r="N167" s="56">
        <v>9</v>
      </c>
      <c r="O167" s="57">
        <v>237600</v>
      </c>
      <c r="P167" s="56">
        <v>0</v>
      </c>
      <c r="Q167" s="56">
        <v>0</v>
      </c>
      <c r="R167" s="56">
        <v>26.4</v>
      </c>
      <c r="S167" s="56">
        <v>237.6</v>
      </c>
      <c r="T167" s="56">
        <v>0</v>
      </c>
      <c r="U167" s="56">
        <v>0</v>
      </c>
      <c r="V167" s="56">
        <v>26.4</v>
      </c>
      <c r="W167" s="56">
        <v>237.6</v>
      </c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</row>
    <row r="168" spans="1:39" x14ac:dyDescent="0.4">
      <c r="A168" s="56"/>
      <c r="B168" s="59"/>
      <c r="C168" s="56"/>
      <c r="D168" s="56"/>
      <c r="E168" s="56"/>
      <c r="F168" s="57"/>
      <c r="G168" s="57"/>
      <c r="H168" s="57"/>
      <c r="I168" s="56"/>
      <c r="J168" s="56" t="s">
        <v>243</v>
      </c>
      <c r="K168" s="56"/>
      <c r="L168" s="56" t="s">
        <v>448</v>
      </c>
      <c r="M168" s="56">
        <v>-26.4</v>
      </c>
      <c r="N168" s="56">
        <v>9</v>
      </c>
      <c r="O168" s="57">
        <v>-237600</v>
      </c>
      <c r="P168" s="56">
        <v>0</v>
      </c>
      <c r="Q168" s="56">
        <v>0</v>
      </c>
      <c r="R168" s="56">
        <v>-26.4</v>
      </c>
      <c r="S168" s="56">
        <v>-237.6</v>
      </c>
      <c r="T168" s="56">
        <v>0</v>
      </c>
      <c r="U168" s="56">
        <v>0</v>
      </c>
      <c r="V168" s="56">
        <v>-26.4</v>
      </c>
      <c r="W168" s="56">
        <v>-237.6</v>
      </c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</row>
    <row r="169" spans="1:39" x14ac:dyDescent="0.4">
      <c r="A169" s="56"/>
      <c r="B169" s="59"/>
      <c r="C169" s="56"/>
      <c r="D169" s="56"/>
      <c r="E169" s="56"/>
      <c r="F169" s="57"/>
      <c r="G169" s="57"/>
      <c r="H169" s="57"/>
      <c r="I169" s="56"/>
      <c r="J169" s="56"/>
      <c r="K169" s="56"/>
      <c r="L169" s="56" t="s">
        <v>449</v>
      </c>
      <c r="M169" s="56"/>
      <c r="N169" s="56"/>
      <c r="O169" s="57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</row>
    <row r="170" spans="1:39" x14ac:dyDescent="0.4">
      <c r="A170" s="56"/>
      <c r="B170" s="59"/>
      <c r="C170" s="56"/>
      <c r="D170" s="56"/>
      <c r="E170" s="56"/>
      <c r="F170" s="57"/>
      <c r="G170" s="57"/>
      <c r="H170" s="57"/>
      <c r="I170" s="56"/>
      <c r="J170" s="56"/>
      <c r="K170" s="56"/>
      <c r="L170" s="56" t="s">
        <v>450</v>
      </c>
      <c r="M170" s="56">
        <v>-3.2</v>
      </c>
      <c r="N170" s="56">
        <v>5</v>
      </c>
      <c r="O170" s="57">
        <v>-16000</v>
      </c>
      <c r="P170" s="56">
        <v>-3.2</v>
      </c>
      <c r="Q170" s="56">
        <v>-16</v>
      </c>
      <c r="R170" s="56">
        <v>0</v>
      </c>
      <c r="S170" s="56">
        <v>0</v>
      </c>
      <c r="T170" s="56">
        <v>-3.2</v>
      </c>
      <c r="U170" s="56">
        <v>-16</v>
      </c>
      <c r="V170" s="56">
        <v>0</v>
      </c>
      <c r="W170" s="56">
        <v>0</v>
      </c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</row>
    <row r="171" spans="1:39" x14ac:dyDescent="0.4">
      <c r="A171" s="56"/>
      <c r="B171" s="59"/>
      <c r="C171" s="56"/>
      <c r="D171" s="56"/>
      <c r="E171" s="56"/>
      <c r="F171" s="57"/>
      <c r="G171" s="57"/>
      <c r="H171" s="57"/>
      <c r="I171" s="56"/>
      <c r="J171" s="56"/>
      <c r="K171" s="56"/>
      <c r="L171" s="56" t="s">
        <v>451</v>
      </c>
      <c r="M171" s="56">
        <v>-6.5</v>
      </c>
      <c r="N171" s="56">
        <v>3</v>
      </c>
      <c r="O171" s="57">
        <v>-19500</v>
      </c>
      <c r="P171" s="56">
        <v>-6.5</v>
      </c>
      <c r="Q171" s="56">
        <v>-19.5</v>
      </c>
      <c r="R171" s="56">
        <v>0</v>
      </c>
      <c r="S171" s="56">
        <v>0</v>
      </c>
      <c r="T171" s="56">
        <v>-6.5</v>
      </c>
      <c r="U171" s="56">
        <v>-19.5</v>
      </c>
      <c r="V171" s="56">
        <v>0</v>
      </c>
      <c r="W171" s="56">
        <v>0</v>
      </c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</row>
    <row r="172" spans="1:39" x14ac:dyDescent="0.4">
      <c r="A172" s="56"/>
      <c r="B172" s="59"/>
      <c r="C172" s="56"/>
      <c r="D172" s="56"/>
      <c r="E172" s="56"/>
      <c r="F172" s="57"/>
      <c r="G172" s="57"/>
      <c r="H172" s="57"/>
      <c r="I172" s="56"/>
      <c r="J172" s="56"/>
      <c r="K172" s="56"/>
      <c r="L172" s="56" t="s">
        <v>452</v>
      </c>
      <c r="M172" s="56"/>
      <c r="N172" s="56"/>
      <c r="O172" s="57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</row>
    <row r="173" spans="1:39" x14ac:dyDescent="0.4">
      <c r="A173" s="56"/>
      <c r="B173" s="59"/>
      <c r="C173" s="56"/>
      <c r="D173" s="56"/>
      <c r="E173" s="56"/>
      <c r="F173" s="57"/>
      <c r="G173" s="57"/>
      <c r="H173" s="57"/>
      <c r="I173" s="56"/>
      <c r="J173" s="56"/>
      <c r="K173" s="56"/>
      <c r="L173" s="56" t="s">
        <v>453</v>
      </c>
      <c r="M173" s="56">
        <v>31</v>
      </c>
      <c r="N173" s="56">
        <v>1</v>
      </c>
      <c r="O173" s="57">
        <v>31000</v>
      </c>
      <c r="P173" s="56">
        <v>0</v>
      </c>
      <c r="Q173" s="56">
        <v>0</v>
      </c>
      <c r="R173" s="56">
        <v>31</v>
      </c>
      <c r="S173" s="56">
        <v>31</v>
      </c>
      <c r="T173" s="56">
        <v>0</v>
      </c>
      <c r="U173" s="56">
        <v>0</v>
      </c>
      <c r="V173" s="56">
        <v>31</v>
      </c>
      <c r="W173" s="56">
        <v>31</v>
      </c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</row>
    <row r="174" spans="1:39" x14ac:dyDescent="0.4">
      <c r="A174" s="56"/>
      <c r="B174" s="59"/>
      <c r="C174" s="56"/>
      <c r="D174" s="56"/>
      <c r="E174" s="56"/>
      <c r="F174" s="57"/>
      <c r="G174" s="57"/>
      <c r="H174" s="57"/>
      <c r="I174" s="56"/>
      <c r="J174" s="56"/>
      <c r="K174" s="56" t="s">
        <v>454</v>
      </c>
      <c r="L174" s="56"/>
      <c r="M174" s="56"/>
      <c r="N174" s="56"/>
      <c r="O174" s="57">
        <v>1854610</v>
      </c>
      <c r="P174" s="56"/>
      <c r="Q174" s="56">
        <v>1286.8</v>
      </c>
      <c r="R174" s="56"/>
      <c r="S174" s="56">
        <v>567.80999999999995</v>
      </c>
      <c r="T174" s="56"/>
      <c r="U174" s="56">
        <v>1286.8</v>
      </c>
      <c r="V174" s="56"/>
      <c r="W174" s="56">
        <v>567.80999999999995</v>
      </c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</row>
    <row r="175" spans="1:39" x14ac:dyDescent="0.4">
      <c r="A175" s="56"/>
      <c r="B175" s="59"/>
      <c r="C175" s="56"/>
      <c r="D175" s="56"/>
      <c r="E175" s="56"/>
      <c r="F175" s="57"/>
      <c r="G175" s="57"/>
      <c r="H175" s="57"/>
      <c r="I175" s="56"/>
      <c r="J175" s="56"/>
      <c r="K175" s="56" t="s">
        <v>455</v>
      </c>
      <c r="L175" s="56"/>
      <c r="M175" s="56"/>
      <c r="N175" s="56"/>
      <c r="O175" s="57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</row>
    <row r="176" spans="1:39" x14ac:dyDescent="0.4">
      <c r="A176" s="56"/>
      <c r="B176" s="59"/>
      <c r="C176" s="56"/>
      <c r="D176" s="56"/>
      <c r="E176" s="56"/>
      <c r="F176" s="57"/>
      <c r="G176" s="57"/>
      <c r="H176" s="57"/>
      <c r="I176" s="56"/>
      <c r="J176" s="56"/>
      <c r="K176" s="56"/>
      <c r="L176" s="56" t="s">
        <v>456</v>
      </c>
      <c r="M176" s="56"/>
      <c r="N176" s="56"/>
      <c r="O176" s="57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</row>
    <row r="177" spans="1:39" x14ac:dyDescent="0.4">
      <c r="A177" s="56"/>
      <c r="B177" s="59"/>
      <c r="C177" s="56"/>
      <c r="D177" s="56"/>
      <c r="E177" s="56"/>
      <c r="F177" s="57"/>
      <c r="G177" s="57"/>
      <c r="H177" s="57"/>
      <c r="I177" s="56"/>
      <c r="J177" s="56"/>
      <c r="K177" s="56"/>
      <c r="L177" s="56" t="s">
        <v>457</v>
      </c>
      <c r="M177" s="56">
        <v>12</v>
      </c>
      <c r="N177" s="56">
        <v>32</v>
      </c>
      <c r="O177" s="57">
        <v>384000</v>
      </c>
      <c r="P177" s="56">
        <v>12</v>
      </c>
      <c r="Q177" s="56">
        <v>384</v>
      </c>
      <c r="R177" s="56">
        <v>0</v>
      </c>
      <c r="S177" s="56">
        <v>0</v>
      </c>
      <c r="T177" s="56">
        <v>12</v>
      </c>
      <c r="U177" s="56">
        <v>384</v>
      </c>
      <c r="V177" s="56">
        <v>0</v>
      </c>
      <c r="W177" s="56">
        <v>0</v>
      </c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</row>
    <row r="178" spans="1:39" x14ac:dyDescent="0.4">
      <c r="A178" s="56"/>
      <c r="B178" s="59"/>
      <c r="C178" s="56"/>
      <c r="D178" s="56"/>
      <c r="E178" s="56"/>
      <c r="F178" s="57"/>
      <c r="G178" s="57"/>
      <c r="H178" s="57"/>
      <c r="I178" s="56"/>
      <c r="J178" s="56"/>
      <c r="K178" s="56"/>
      <c r="L178" s="56" t="s">
        <v>458</v>
      </c>
      <c r="M178" s="56">
        <v>5</v>
      </c>
      <c r="N178" s="56">
        <v>13</v>
      </c>
      <c r="O178" s="57">
        <v>65000</v>
      </c>
      <c r="P178" s="56">
        <v>5</v>
      </c>
      <c r="Q178" s="56">
        <v>65</v>
      </c>
      <c r="R178" s="56">
        <v>0</v>
      </c>
      <c r="S178" s="56">
        <v>0</v>
      </c>
      <c r="T178" s="56">
        <v>5</v>
      </c>
      <c r="U178" s="56">
        <v>65</v>
      </c>
      <c r="V178" s="56">
        <v>0</v>
      </c>
      <c r="W178" s="56">
        <v>0</v>
      </c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</row>
    <row r="179" spans="1:39" x14ac:dyDescent="0.4">
      <c r="A179" s="56"/>
      <c r="B179" s="59"/>
      <c r="C179" s="56"/>
      <c r="D179" s="56"/>
      <c r="E179" s="56"/>
      <c r="F179" s="57"/>
      <c r="G179" s="57"/>
      <c r="H179" s="57"/>
      <c r="I179" s="56"/>
      <c r="J179" s="56"/>
      <c r="K179" s="56"/>
      <c r="L179" s="56" t="s">
        <v>459</v>
      </c>
      <c r="M179" s="56">
        <v>17</v>
      </c>
      <c r="N179" s="56">
        <v>8</v>
      </c>
      <c r="O179" s="57">
        <v>136000</v>
      </c>
      <c r="P179" s="56">
        <v>17</v>
      </c>
      <c r="Q179" s="56">
        <v>136</v>
      </c>
      <c r="R179" s="56">
        <v>0</v>
      </c>
      <c r="S179" s="56">
        <v>0</v>
      </c>
      <c r="T179" s="56">
        <v>17</v>
      </c>
      <c r="U179" s="56">
        <v>136</v>
      </c>
      <c r="V179" s="56">
        <v>0</v>
      </c>
      <c r="W179" s="56">
        <v>0</v>
      </c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</row>
    <row r="180" spans="1:39" x14ac:dyDescent="0.4">
      <c r="A180" s="56"/>
      <c r="B180" s="59"/>
      <c r="C180" s="56"/>
      <c r="D180" s="56"/>
      <c r="E180" s="56"/>
      <c r="F180" s="57"/>
      <c r="G180" s="57"/>
      <c r="H180" s="57"/>
      <c r="I180" s="56"/>
      <c r="J180" s="56"/>
      <c r="K180" s="56"/>
      <c r="L180" s="56" t="s">
        <v>460</v>
      </c>
      <c r="M180" s="56">
        <v>6</v>
      </c>
      <c r="N180" s="56">
        <v>3</v>
      </c>
      <c r="O180" s="57">
        <v>18000</v>
      </c>
      <c r="P180" s="56">
        <v>6</v>
      </c>
      <c r="Q180" s="56">
        <v>18</v>
      </c>
      <c r="R180" s="56">
        <v>0</v>
      </c>
      <c r="S180" s="56">
        <v>0</v>
      </c>
      <c r="T180" s="56">
        <v>6</v>
      </c>
      <c r="U180" s="56">
        <v>18</v>
      </c>
      <c r="V180" s="56">
        <v>0</v>
      </c>
      <c r="W180" s="56">
        <v>0</v>
      </c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</row>
    <row r="181" spans="1:39" x14ac:dyDescent="0.4">
      <c r="A181" s="56"/>
      <c r="B181" s="59"/>
      <c r="C181" s="56"/>
      <c r="D181" s="56"/>
      <c r="E181" s="56"/>
      <c r="F181" s="57"/>
      <c r="G181" s="57"/>
      <c r="H181" s="57"/>
      <c r="I181" s="56"/>
      <c r="J181" s="56"/>
      <c r="K181" s="56"/>
      <c r="L181" s="56" t="s">
        <v>461</v>
      </c>
      <c r="M181" s="56">
        <v>4</v>
      </c>
      <c r="N181" s="56">
        <v>2</v>
      </c>
      <c r="O181" s="57">
        <v>8000</v>
      </c>
      <c r="P181" s="56">
        <v>4</v>
      </c>
      <c r="Q181" s="56">
        <v>8</v>
      </c>
      <c r="R181" s="56">
        <v>0</v>
      </c>
      <c r="S181" s="56">
        <v>0</v>
      </c>
      <c r="T181" s="56">
        <v>4</v>
      </c>
      <c r="U181" s="56">
        <v>8</v>
      </c>
      <c r="V181" s="56">
        <v>0</v>
      </c>
      <c r="W181" s="56">
        <v>0</v>
      </c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</row>
    <row r="182" spans="1:39" x14ac:dyDescent="0.4">
      <c r="A182" s="56"/>
      <c r="B182" s="59"/>
      <c r="C182" s="56"/>
      <c r="D182" s="56"/>
      <c r="E182" s="56"/>
      <c r="F182" s="57"/>
      <c r="G182" s="57"/>
      <c r="H182" s="57"/>
      <c r="I182" s="56"/>
      <c r="J182" s="56"/>
      <c r="K182" s="56"/>
      <c r="L182" s="56" t="s">
        <v>462</v>
      </c>
      <c r="M182" s="56"/>
      <c r="N182" s="56"/>
      <c r="O182" s="57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</row>
    <row r="183" spans="1:39" x14ac:dyDescent="0.4">
      <c r="A183" s="56"/>
      <c r="B183" s="59"/>
      <c r="C183" s="56"/>
      <c r="D183" s="56"/>
      <c r="E183" s="56"/>
      <c r="F183" s="57"/>
      <c r="G183" s="57"/>
      <c r="H183" s="57"/>
      <c r="I183" s="56"/>
      <c r="J183" s="56" t="s">
        <v>243</v>
      </c>
      <c r="K183" s="56"/>
      <c r="L183" s="56" t="s">
        <v>880</v>
      </c>
      <c r="M183" s="56">
        <v>4</v>
      </c>
      <c r="N183" s="56">
        <v>3</v>
      </c>
      <c r="O183" s="57">
        <v>12000</v>
      </c>
      <c r="P183" s="56">
        <v>0</v>
      </c>
      <c r="Q183" s="56">
        <v>0</v>
      </c>
      <c r="R183" s="56">
        <v>4</v>
      </c>
      <c r="S183" s="56">
        <v>12</v>
      </c>
      <c r="T183" s="56">
        <v>0</v>
      </c>
      <c r="U183" s="56">
        <v>0</v>
      </c>
      <c r="V183" s="56">
        <v>4</v>
      </c>
      <c r="W183" s="56">
        <v>12</v>
      </c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</row>
    <row r="184" spans="1:39" x14ac:dyDescent="0.4">
      <c r="A184" s="56"/>
      <c r="B184" s="59"/>
      <c r="C184" s="56"/>
      <c r="D184" s="56"/>
      <c r="E184" s="56"/>
      <c r="F184" s="57"/>
      <c r="G184" s="57"/>
      <c r="H184" s="57"/>
      <c r="I184" s="56"/>
      <c r="J184" s="56" t="s">
        <v>243</v>
      </c>
      <c r="K184" s="56"/>
      <c r="L184" s="56" t="s">
        <v>881</v>
      </c>
      <c r="M184" s="56">
        <v>4.3</v>
      </c>
      <c r="N184" s="56">
        <v>3</v>
      </c>
      <c r="O184" s="57">
        <v>12900</v>
      </c>
      <c r="P184" s="56">
        <v>0</v>
      </c>
      <c r="Q184" s="56">
        <v>0</v>
      </c>
      <c r="R184" s="56">
        <v>4.3</v>
      </c>
      <c r="S184" s="56">
        <v>12.9</v>
      </c>
      <c r="T184" s="56">
        <v>0</v>
      </c>
      <c r="U184" s="56">
        <v>0</v>
      </c>
      <c r="V184" s="56">
        <v>4.3</v>
      </c>
      <c r="W184" s="56">
        <v>12.9</v>
      </c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</row>
    <row r="185" spans="1:39" x14ac:dyDescent="0.4">
      <c r="A185" s="56"/>
      <c r="B185" s="59"/>
      <c r="C185" s="56"/>
      <c r="D185" s="56"/>
      <c r="E185" s="56"/>
      <c r="F185" s="57"/>
      <c r="G185" s="57"/>
      <c r="H185" s="57"/>
      <c r="I185" s="56"/>
      <c r="J185" s="56" t="s">
        <v>243</v>
      </c>
      <c r="K185" s="56"/>
      <c r="L185" s="56" t="s">
        <v>882</v>
      </c>
      <c r="M185" s="56">
        <v>13.4</v>
      </c>
      <c r="N185" s="56">
        <v>6</v>
      </c>
      <c r="O185" s="57">
        <v>80400</v>
      </c>
      <c r="P185" s="56">
        <v>0</v>
      </c>
      <c r="Q185" s="56">
        <v>0</v>
      </c>
      <c r="R185" s="56">
        <v>13.4</v>
      </c>
      <c r="S185" s="56">
        <v>80.400000000000006</v>
      </c>
      <c r="T185" s="56">
        <v>0</v>
      </c>
      <c r="U185" s="56">
        <v>0</v>
      </c>
      <c r="V185" s="56">
        <v>13.4</v>
      </c>
      <c r="W185" s="56">
        <v>80.400000000000006</v>
      </c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</row>
    <row r="186" spans="1:39" x14ac:dyDescent="0.4">
      <c r="A186" s="56"/>
      <c r="B186" s="59"/>
      <c r="C186" s="56"/>
      <c r="D186" s="56"/>
      <c r="E186" s="56"/>
      <c r="F186" s="57"/>
      <c r="G186" s="57"/>
      <c r="H186" s="57"/>
      <c r="I186" s="56"/>
      <c r="J186" s="56" t="s">
        <v>243</v>
      </c>
      <c r="K186" s="56"/>
      <c r="L186" s="56" t="s">
        <v>463</v>
      </c>
      <c r="M186" s="56">
        <v>8.8000000000000007</v>
      </c>
      <c r="N186" s="56">
        <v>3</v>
      </c>
      <c r="O186" s="57">
        <v>26400</v>
      </c>
      <c r="P186" s="56">
        <v>0</v>
      </c>
      <c r="Q186" s="56">
        <v>0</v>
      </c>
      <c r="R186" s="56">
        <v>8.8000000000000007</v>
      </c>
      <c r="S186" s="56">
        <v>26.4</v>
      </c>
      <c r="T186" s="56">
        <v>0</v>
      </c>
      <c r="U186" s="56">
        <v>0</v>
      </c>
      <c r="V186" s="56">
        <v>8.8000000000000007</v>
      </c>
      <c r="W186" s="56">
        <v>26.4</v>
      </c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</row>
    <row r="187" spans="1:39" x14ac:dyDescent="0.4">
      <c r="A187" s="56"/>
      <c r="B187" s="59"/>
      <c r="C187" s="56"/>
      <c r="D187" s="56"/>
      <c r="E187" s="56"/>
      <c r="F187" s="57"/>
      <c r="G187" s="57"/>
      <c r="H187" s="57"/>
      <c r="I187" s="56"/>
      <c r="J187" s="56" t="s">
        <v>243</v>
      </c>
      <c r="K187" s="56"/>
      <c r="L187" s="56" t="s">
        <v>883</v>
      </c>
      <c r="M187" s="56">
        <v>8.8000000000000007</v>
      </c>
      <c r="N187" s="56">
        <v>5</v>
      </c>
      <c r="O187" s="57">
        <v>44000</v>
      </c>
      <c r="P187" s="56">
        <v>0</v>
      </c>
      <c r="Q187" s="56">
        <v>0</v>
      </c>
      <c r="R187" s="56">
        <v>8.8000000000000007</v>
      </c>
      <c r="S187" s="56">
        <v>44</v>
      </c>
      <c r="T187" s="56">
        <v>0</v>
      </c>
      <c r="U187" s="56">
        <v>0</v>
      </c>
      <c r="V187" s="56">
        <v>8.8000000000000007</v>
      </c>
      <c r="W187" s="56">
        <v>44</v>
      </c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</row>
    <row r="188" spans="1:39" x14ac:dyDescent="0.4">
      <c r="A188" s="56"/>
      <c r="B188" s="59"/>
      <c r="C188" s="56"/>
      <c r="D188" s="56"/>
      <c r="E188" s="56"/>
      <c r="F188" s="57"/>
      <c r="G188" s="57"/>
      <c r="H188" s="57"/>
      <c r="I188" s="56"/>
      <c r="J188" s="56"/>
      <c r="K188" s="56" t="s">
        <v>464</v>
      </c>
      <c r="L188" s="56"/>
      <c r="M188" s="56"/>
      <c r="N188" s="56"/>
      <c r="O188" s="57">
        <v>786700</v>
      </c>
      <c r="P188" s="56"/>
      <c r="Q188" s="56">
        <v>611</v>
      </c>
      <c r="R188" s="56"/>
      <c r="S188" s="56">
        <v>175.7</v>
      </c>
      <c r="T188" s="56"/>
      <c r="U188" s="56">
        <v>611</v>
      </c>
      <c r="V188" s="56"/>
      <c r="W188" s="56">
        <v>175.7</v>
      </c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</row>
    <row r="189" spans="1:39" x14ac:dyDescent="0.4">
      <c r="A189" s="56"/>
      <c r="B189" s="59"/>
      <c r="C189" s="56"/>
      <c r="D189" s="56"/>
      <c r="E189" s="56"/>
      <c r="F189" s="57"/>
      <c r="G189" s="57"/>
      <c r="H189" s="57"/>
      <c r="I189" s="56"/>
      <c r="J189" s="56"/>
      <c r="K189" s="56" t="s">
        <v>465</v>
      </c>
      <c r="L189" s="56"/>
      <c r="M189" s="56"/>
      <c r="N189" s="56"/>
      <c r="O189" s="57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</row>
    <row r="190" spans="1:39" x14ac:dyDescent="0.4">
      <c r="A190" s="56"/>
      <c r="B190" s="59"/>
      <c r="C190" s="56"/>
      <c r="D190" s="56"/>
      <c r="E190" s="56"/>
      <c r="F190" s="57"/>
      <c r="G190" s="57"/>
      <c r="H190" s="57"/>
      <c r="I190" s="56"/>
      <c r="J190" s="56"/>
      <c r="K190" s="56"/>
      <c r="L190" s="56" t="s">
        <v>466</v>
      </c>
      <c r="M190" s="56"/>
      <c r="N190" s="56"/>
      <c r="O190" s="57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</row>
    <row r="191" spans="1:39" x14ac:dyDescent="0.4">
      <c r="A191" s="56"/>
      <c r="B191" s="59"/>
      <c r="C191" s="56"/>
      <c r="D191" s="56"/>
      <c r="E191" s="56"/>
      <c r="F191" s="57"/>
      <c r="G191" s="57"/>
      <c r="H191" s="57"/>
      <c r="I191" s="56"/>
      <c r="J191" s="56"/>
      <c r="K191" s="56"/>
      <c r="L191" s="56" t="s">
        <v>884</v>
      </c>
      <c r="M191" s="56">
        <v>29</v>
      </c>
      <c r="N191" s="56">
        <v>2</v>
      </c>
      <c r="O191" s="57">
        <v>58000</v>
      </c>
      <c r="P191" s="56">
        <v>29</v>
      </c>
      <c r="Q191" s="56">
        <v>58</v>
      </c>
      <c r="R191" s="56">
        <v>0</v>
      </c>
      <c r="S191" s="56">
        <v>0</v>
      </c>
      <c r="T191" s="56">
        <v>29</v>
      </c>
      <c r="U191" s="56">
        <v>58</v>
      </c>
      <c r="V191" s="56">
        <v>0</v>
      </c>
      <c r="W191" s="56">
        <v>0</v>
      </c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</row>
    <row r="192" spans="1:39" x14ac:dyDescent="0.4">
      <c r="A192" s="56"/>
      <c r="B192" s="59"/>
      <c r="C192" s="56"/>
      <c r="D192" s="56"/>
      <c r="E192" s="56"/>
      <c r="F192" s="57"/>
      <c r="G192" s="57"/>
      <c r="H192" s="57"/>
      <c r="I192" s="56"/>
      <c r="J192" s="56"/>
      <c r="K192" s="56"/>
      <c r="L192" s="56" t="s">
        <v>885</v>
      </c>
      <c r="M192" s="56">
        <v>31.4</v>
      </c>
      <c r="N192" s="56">
        <v>2</v>
      </c>
      <c r="O192" s="57">
        <v>62800</v>
      </c>
      <c r="P192" s="56">
        <v>31.4</v>
      </c>
      <c r="Q192" s="56">
        <v>62.8</v>
      </c>
      <c r="R192" s="56">
        <v>0</v>
      </c>
      <c r="S192" s="56">
        <v>0</v>
      </c>
      <c r="T192" s="56">
        <v>31.4</v>
      </c>
      <c r="U192" s="56">
        <v>62.8</v>
      </c>
      <c r="V192" s="56">
        <v>0</v>
      </c>
      <c r="W192" s="56">
        <v>0</v>
      </c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</row>
    <row r="193" spans="1:39" x14ac:dyDescent="0.4">
      <c r="A193" s="56"/>
      <c r="B193" s="59"/>
      <c r="C193" s="56"/>
      <c r="D193" s="56"/>
      <c r="E193" s="56"/>
      <c r="F193" s="57"/>
      <c r="G193" s="57"/>
      <c r="H193" s="57"/>
      <c r="I193" s="56"/>
      <c r="J193" s="56"/>
      <c r="K193" s="56"/>
      <c r="L193" s="56" t="s">
        <v>886</v>
      </c>
      <c r="M193" s="56">
        <v>2.2000000000000002</v>
      </c>
      <c r="N193" s="56">
        <v>2</v>
      </c>
      <c r="O193" s="57">
        <v>4400</v>
      </c>
      <c r="P193" s="56">
        <v>2</v>
      </c>
      <c r="Q193" s="56">
        <v>4</v>
      </c>
      <c r="R193" s="56">
        <v>0.2</v>
      </c>
      <c r="S193" s="56">
        <v>0.4</v>
      </c>
      <c r="T193" s="56">
        <v>2</v>
      </c>
      <c r="U193" s="56">
        <v>4</v>
      </c>
      <c r="V193" s="56">
        <v>0.2</v>
      </c>
      <c r="W193" s="56">
        <v>0.4</v>
      </c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</row>
    <row r="194" spans="1:39" x14ac:dyDescent="0.4">
      <c r="A194" s="56"/>
      <c r="B194" s="59"/>
      <c r="C194" s="56"/>
      <c r="D194" s="56"/>
      <c r="E194" s="56"/>
      <c r="F194" s="57"/>
      <c r="G194" s="57"/>
      <c r="H194" s="57"/>
      <c r="I194" s="56"/>
      <c r="J194" s="56"/>
      <c r="K194" s="56"/>
      <c r="L194" s="57" t="s">
        <v>467</v>
      </c>
      <c r="M194" s="56"/>
      <c r="N194" s="56"/>
      <c r="O194" s="57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</row>
    <row r="195" spans="1:39" x14ac:dyDescent="0.4">
      <c r="A195" s="56"/>
      <c r="B195" s="59"/>
      <c r="C195" s="56"/>
      <c r="D195" s="56"/>
      <c r="E195" s="56"/>
      <c r="F195" s="57"/>
      <c r="G195" s="57"/>
      <c r="H195" s="57"/>
      <c r="I195" s="56"/>
      <c r="J195" s="56"/>
      <c r="K195" s="56"/>
      <c r="L195" s="56" t="s">
        <v>887</v>
      </c>
      <c r="M195" s="56">
        <v>80.7</v>
      </c>
      <c r="N195" s="56">
        <v>1</v>
      </c>
      <c r="O195" s="57">
        <v>80700</v>
      </c>
      <c r="P195" s="56">
        <v>78.400000000000006</v>
      </c>
      <c r="Q195" s="56">
        <v>78.400000000000006</v>
      </c>
      <c r="R195" s="56">
        <v>2.2999999999999998</v>
      </c>
      <c r="S195" s="56">
        <v>2.2999999999999998</v>
      </c>
      <c r="T195" s="56">
        <v>78.400000000000006</v>
      </c>
      <c r="U195" s="56">
        <v>78.400000000000006</v>
      </c>
      <c r="V195" s="56">
        <v>2.2999999999999998</v>
      </c>
      <c r="W195" s="56">
        <v>2.2999999999999998</v>
      </c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</row>
    <row r="196" spans="1:39" x14ac:dyDescent="0.4">
      <c r="A196" s="56"/>
      <c r="B196" s="59"/>
      <c r="C196" s="56"/>
      <c r="D196" s="56"/>
      <c r="E196" s="56"/>
      <c r="F196" s="57"/>
      <c r="G196" s="57"/>
      <c r="H196" s="57"/>
      <c r="I196" s="56"/>
      <c r="J196" s="56"/>
      <c r="K196" s="56"/>
      <c r="L196" s="57" t="s">
        <v>888</v>
      </c>
      <c r="M196" s="56"/>
      <c r="N196" s="56"/>
      <c r="O196" s="57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</row>
    <row r="197" spans="1:39" x14ac:dyDescent="0.4">
      <c r="A197" s="56"/>
      <c r="B197" s="59"/>
      <c r="C197" s="56"/>
      <c r="D197" s="56"/>
      <c r="E197" s="56"/>
      <c r="F197" s="57"/>
      <c r="G197" s="57"/>
      <c r="H197" s="57"/>
      <c r="I197" s="56"/>
      <c r="J197" s="56"/>
      <c r="K197" s="56"/>
      <c r="L197" s="56" t="s">
        <v>889</v>
      </c>
      <c r="M197" s="56">
        <v>34.4</v>
      </c>
      <c r="N197" s="56">
        <v>2</v>
      </c>
      <c r="O197" s="57">
        <v>68800</v>
      </c>
      <c r="P197" s="56">
        <v>32.299999999999997</v>
      </c>
      <c r="Q197" s="56">
        <v>64.599999999999994</v>
      </c>
      <c r="R197" s="56">
        <v>2.1</v>
      </c>
      <c r="S197" s="56">
        <v>4.2</v>
      </c>
      <c r="T197" s="56">
        <v>32.299999999999997</v>
      </c>
      <c r="U197" s="56">
        <v>64.599999999999994</v>
      </c>
      <c r="V197" s="56">
        <v>2.1</v>
      </c>
      <c r="W197" s="56">
        <v>4.2</v>
      </c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</row>
    <row r="198" spans="1:39" x14ac:dyDescent="0.4">
      <c r="A198" s="56"/>
      <c r="B198" s="59"/>
      <c r="C198" s="56"/>
      <c r="D198" s="56"/>
      <c r="E198" s="56"/>
      <c r="F198" s="57"/>
      <c r="G198" s="57"/>
      <c r="H198" s="57"/>
      <c r="I198" s="56"/>
      <c r="J198" s="56"/>
      <c r="K198" s="56"/>
      <c r="L198" s="57" t="s">
        <v>890</v>
      </c>
      <c r="M198" s="56">
        <v>38.299999999999997</v>
      </c>
      <c r="N198" s="56">
        <v>1</v>
      </c>
      <c r="O198" s="57">
        <v>38300</v>
      </c>
      <c r="P198" s="56">
        <v>36.200000000000003</v>
      </c>
      <c r="Q198" s="56">
        <v>36.200000000000003</v>
      </c>
      <c r="R198" s="56">
        <v>2.1</v>
      </c>
      <c r="S198" s="56">
        <v>2.1</v>
      </c>
      <c r="T198" s="56">
        <v>36.200000000000003</v>
      </c>
      <c r="U198" s="56">
        <v>36.200000000000003</v>
      </c>
      <c r="V198" s="56">
        <v>2.1</v>
      </c>
      <c r="W198" s="56">
        <v>2.1</v>
      </c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</row>
    <row r="199" spans="1:39" x14ac:dyDescent="0.4">
      <c r="A199" s="56"/>
      <c r="B199" s="59"/>
      <c r="C199" s="56"/>
      <c r="D199" s="56"/>
      <c r="E199" s="56"/>
      <c r="F199" s="57"/>
      <c r="G199" s="57"/>
      <c r="H199" s="57"/>
      <c r="I199" s="56"/>
      <c r="J199" s="56"/>
      <c r="K199" s="56"/>
      <c r="L199" s="57" t="s">
        <v>468</v>
      </c>
      <c r="M199" s="56">
        <v>4</v>
      </c>
      <c r="N199" s="56">
        <v>1</v>
      </c>
      <c r="O199" s="57">
        <v>4000</v>
      </c>
      <c r="P199" s="56">
        <v>4</v>
      </c>
      <c r="Q199" s="56">
        <v>4</v>
      </c>
      <c r="R199" s="56">
        <v>0</v>
      </c>
      <c r="S199" s="56">
        <v>0</v>
      </c>
      <c r="T199" s="56">
        <v>4</v>
      </c>
      <c r="U199" s="56">
        <v>4</v>
      </c>
      <c r="V199" s="56">
        <v>0</v>
      </c>
      <c r="W199" s="56">
        <v>0</v>
      </c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</row>
    <row r="200" spans="1:39" x14ac:dyDescent="0.4">
      <c r="A200" s="56"/>
      <c r="B200" s="59"/>
      <c r="C200" s="56"/>
      <c r="D200" s="56"/>
      <c r="E200" s="56"/>
      <c r="F200" s="57"/>
      <c r="G200" s="57"/>
      <c r="H200" s="57"/>
      <c r="I200" s="56"/>
      <c r="J200" s="56"/>
      <c r="K200" s="56"/>
      <c r="L200" s="56" t="s">
        <v>891</v>
      </c>
      <c r="M200" s="56">
        <v>1</v>
      </c>
      <c r="N200" s="56">
        <v>1</v>
      </c>
      <c r="O200" s="57">
        <v>1000</v>
      </c>
      <c r="P200" s="56">
        <v>1</v>
      </c>
      <c r="Q200" s="56">
        <v>1</v>
      </c>
      <c r="R200" s="56">
        <v>0</v>
      </c>
      <c r="S200" s="56">
        <v>0</v>
      </c>
      <c r="T200" s="56">
        <v>1</v>
      </c>
      <c r="U200" s="56">
        <v>1</v>
      </c>
      <c r="V200" s="56">
        <v>0</v>
      </c>
      <c r="W200" s="56">
        <v>0</v>
      </c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</row>
    <row r="201" spans="1:39" x14ac:dyDescent="0.4">
      <c r="A201" s="56"/>
      <c r="B201" s="59"/>
      <c r="C201" s="56"/>
      <c r="D201" s="56"/>
      <c r="E201" s="56"/>
      <c r="F201" s="57"/>
      <c r="G201" s="57"/>
      <c r="H201" s="57"/>
      <c r="I201" s="56"/>
      <c r="J201" s="56"/>
      <c r="K201" s="56"/>
      <c r="L201" s="56" t="s">
        <v>469</v>
      </c>
      <c r="M201" s="56"/>
      <c r="N201" s="56"/>
      <c r="O201" s="57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</row>
    <row r="202" spans="1:39" x14ac:dyDescent="0.4">
      <c r="A202" s="56"/>
      <c r="B202" s="59"/>
      <c r="C202" s="56"/>
      <c r="D202" s="56"/>
      <c r="E202" s="56"/>
      <c r="F202" s="57"/>
      <c r="G202" s="57"/>
      <c r="H202" s="57"/>
      <c r="I202" s="56"/>
      <c r="J202" s="56"/>
      <c r="K202" s="56"/>
      <c r="L202" s="56" t="s">
        <v>470</v>
      </c>
      <c r="M202" s="56">
        <v>3.3</v>
      </c>
      <c r="N202" s="56">
        <v>4</v>
      </c>
      <c r="O202" s="57">
        <v>13200</v>
      </c>
      <c r="P202" s="56">
        <v>0</v>
      </c>
      <c r="Q202" s="56">
        <v>0</v>
      </c>
      <c r="R202" s="56">
        <v>3.3</v>
      </c>
      <c r="S202" s="56">
        <v>13.2</v>
      </c>
      <c r="T202" s="56">
        <v>0</v>
      </c>
      <c r="U202" s="56">
        <v>0</v>
      </c>
      <c r="V202" s="56">
        <v>3.3</v>
      </c>
      <c r="W202" s="56">
        <v>13.2</v>
      </c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</row>
    <row r="203" spans="1:39" x14ac:dyDescent="0.4">
      <c r="A203" s="56"/>
      <c r="B203" s="59"/>
      <c r="C203" s="56"/>
      <c r="D203" s="56"/>
      <c r="E203" s="56"/>
      <c r="F203" s="57"/>
      <c r="G203" s="57"/>
      <c r="H203" s="57"/>
      <c r="I203" s="56"/>
      <c r="J203" s="56"/>
      <c r="K203" s="56"/>
      <c r="L203" s="56" t="s">
        <v>892</v>
      </c>
      <c r="M203" s="56">
        <v>3.2</v>
      </c>
      <c r="N203" s="56">
        <v>1</v>
      </c>
      <c r="O203" s="57">
        <v>3200</v>
      </c>
      <c r="P203" s="56">
        <v>0</v>
      </c>
      <c r="Q203" s="56">
        <v>0</v>
      </c>
      <c r="R203" s="56">
        <v>3.2</v>
      </c>
      <c r="S203" s="56">
        <v>3.2</v>
      </c>
      <c r="T203" s="56">
        <v>0</v>
      </c>
      <c r="U203" s="56">
        <v>0</v>
      </c>
      <c r="V203" s="56">
        <v>3.2</v>
      </c>
      <c r="W203" s="56">
        <v>3.2</v>
      </c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</row>
    <row r="204" spans="1:39" x14ac:dyDescent="0.4">
      <c r="A204" s="56"/>
      <c r="B204" s="59"/>
      <c r="C204" s="56"/>
      <c r="D204" s="56"/>
      <c r="E204" s="56"/>
      <c r="F204" s="57"/>
      <c r="G204" s="57"/>
      <c r="H204" s="57"/>
      <c r="I204" s="56"/>
      <c r="J204" s="56"/>
      <c r="K204" s="56"/>
      <c r="L204" s="57" t="s">
        <v>893</v>
      </c>
      <c r="M204" s="56"/>
      <c r="N204" s="56"/>
      <c r="O204" s="57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</row>
    <row r="205" spans="1:39" x14ac:dyDescent="0.4">
      <c r="A205" s="56"/>
      <c r="B205" s="59"/>
      <c r="C205" s="56"/>
      <c r="D205" s="56"/>
      <c r="E205" s="56"/>
      <c r="F205" s="57"/>
      <c r="G205" s="57"/>
      <c r="H205" s="57"/>
      <c r="I205" s="56"/>
      <c r="J205" s="56"/>
      <c r="K205" s="56"/>
      <c r="L205" s="57" t="s">
        <v>894</v>
      </c>
      <c r="M205" s="56">
        <v>71.5</v>
      </c>
      <c r="N205" s="56">
        <v>2</v>
      </c>
      <c r="O205" s="57">
        <v>143000</v>
      </c>
      <c r="P205" s="56">
        <v>69.8</v>
      </c>
      <c r="Q205" s="56">
        <v>139.6</v>
      </c>
      <c r="R205" s="56">
        <v>1.7</v>
      </c>
      <c r="S205" s="56">
        <v>3.4</v>
      </c>
      <c r="T205" s="56">
        <v>69.8</v>
      </c>
      <c r="U205" s="56">
        <v>139.6</v>
      </c>
      <c r="V205" s="56">
        <v>1.7</v>
      </c>
      <c r="W205" s="56">
        <v>3.4</v>
      </c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</row>
    <row r="206" spans="1:39" x14ac:dyDescent="0.4">
      <c r="A206" s="56"/>
      <c r="B206" s="59"/>
      <c r="C206" s="56"/>
      <c r="D206" s="56"/>
      <c r="E206" s="56"/>
      <c r="F206" s="57"/>
      <c r="G206" s="57"/>
      <c r="H206" s="57"/>
      <c r="I206" s="56"/>
      <c r="J206" s="56"/>
      <c r="K206" s="56"/>
      <c r="L206" s="56" t="s">
        <v>471</v>
      </c>
      <c r="M206" s="56"/>
      <c r="N206" s="56"/>
      <c r="O206" s="57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</row>
    <row r="207" spans="1:39" x14ac:dyDescent="0.4">
      <c r="A207" s="56"/>
      <c r="B207" s="59"/>
      <c r="C207" s="56"/>
      <c r="D207" s="56"/>
      <c r="E207" s="56"/>
      <c r="F207" s="57"/>
      <c r="G207" s="57"/>
      <c r="H207" s="57"/>
      <c r="I207" s="56"/>
      <c r="J207" s="56"/>
      <c r="K207" s="56"/>
      <c r="L207" s="56" t="s">
        <v>895</v>
      </c>
      <c r="M207" s="56">
        <v>7.5</v>
      </c>
      <c r="N207" s="56">
        <v>1</v>
      </c>
      <c r="O207" s="57">
        <v>7500</v>
      </c>
      <c r="P207" s="56">
        <v>6.3</v>
      </c>
      <c r="Q207" s="56">
        <v>6.3</v>
      </c>
      <c r="R207" s="56">
        <v>1.2</v>
      </c>
      <c r="S207" s="56">
        <v>1.2</v>
      </c>
      <c r="T207" s="56">
        <v>6.3</v>
      </c>
      <c r="U207" s="56">
        <v>6.3</v>
      </c>
      <c r="V207" s="56">
        <v>1.2</v>
      </c>
      <c r="W207" s="56">
        <v>1.2</v>
      </c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</row>
    <row r="208" spans="1:39" x14ac:dyDescent="0.4">
      <c r="A208" s="56"/>
      <c r="B208" s="59"/>
      <c r="C208" s="56"/>
      <c r="D208" s="56"/>
      <c r="E208" s="56"/>
      <c r="F208" s="57"/>
      <c r="G208" s="57"/>
      <c r="H208" s="57"/>
      <c r="I208" s="56"/>
      <c r="J208" s="56"/>
      <c r="K208" s="56"/>
      <c r="L208" s="56" t="s">
        <v>896</v>
      </c>
      <c r="M208" s="56">
        <v>6.7</v>
      </c>
      <c r="N208" s="56">
        <v>1</v>
      </c>
      <c r="O208" s="57">
        <v>6700</v>
      </c>
      <c r="P208" s="56">
        <v>5.5</v>
      </c>
      <c r="Q208" s="56">
        <v>5.5</v>
      </c>
      <c r="R208" s="56">
        <v>1.2</v>
      </c>
      <c r="S208" s="56">
        <v>1.2</v>
      </c>
      <c r="T208" s="56">
        <v>5.5</v>
      </c>
      <c r="U208" s="56">
        <v>5.5</v>
      </c>
      <c r="V208" s="56">
        <v>1.2</v>
      </c>
      <c r="W208" s="56">
        <v>1.2</v>
      </c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</row>
    <row r="209" spans="1:39" x14ac:dyDescent="0.4">
      <c r="A209" s="56"/>
      <c r="B209" s="59"/>
      <c r="C209" s="56"/>
      <c r="D209" s="56"/>
      <c r="E209" s="56"/>
      <c r="F209" s="57"/>
      <c r="G209" s="57"/>
      <c r="H209" s="57"/>
      <c r="I209" s="56"/>
      <c r="J209" s="56"/>
      <c r="K209" s="56"/>
      <c r="L209" s="56" t="s">
        <v>897</v>
      </c>
      <c r="M209" s="56">
        <v>6.7</v>
      </c>
      <c r="N209" s="56">
        <v>1</v>
      </c>
      <c r="O209" s="57">
        <v>6700</v>
      </c>
      <c r="P209" s="56">
        <v>5.5</v>
      </c>
      <c r="Q209" s="56">
        <v>5.5</v>
      </c>
      <c r="R209" s="56">
        <v>1.2</v>
      </c>
      <c r="S209" s="56">
        <v>1.2</v>
      </c>
      <c r="T209" s="56">
        <v>5.5</v>
      </c>
      <c r="U209" s="56">
        <v>5.5</v>
      </c>
      <c r="V209" s="56">
        <v>1.2</v>
      </c>
      <c r="W209" s="56">
        <v>1.2</v>
      </c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</row>
    <row r="210" spans="1:39" x14ac:dyDescent="0.4">
      <c r="A210" s="56"/>
      <c r="B210" s="59"/>
      <c r="C210" s="56"/>
      <c r="D210" s="56"/>
      <c r="E210" s="56"/>
      <c r="F210" s="57"/>
      <c r="G210" s="57"/>
      <c r="H210" s="57"/>
      <c r="I210" s="56"/>
      <c r="J210" s="56"/>
      <c r="K210" s="56"/>
      <c r="L210" s="56" t="s">
        <v>898</v>
      </c>
      <c r="M210" s="56">
        <v>6.5</v>
      </c>
      <c r="N210" s="56">
        <v>1</v>
      </c>
      <c r="O210" s="57">
        <v>6500</v>
      </c>
      <c r="P210" s="56">
        <v>5.3</v>
      </c>
      <c r="Q210" s="56">
        <v>5.3</v>
      </c>
      <c r="R210" s="56">
        <v>1.2</v>
      </c>
      <c r="S210" s="56">
        <v>1.2</v>
      </c>
      <c r="T210" s="56">
        <v>5.3</v>
      </c>
      <c r="U210" s="56">
        <v>5.3</v>
      </c>
      <c r="V210" s="56">
        <v>1.2</v>
      </c>
      <c r="W210" s="56">
        <v>1.2</v>
      </c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</row>
    <row r="211" spans="1:39" x14ac:dyDescent="0.4">
      <c r="A211" s="56"/>
      <c r="B211" s="59"/>
      <c r="C211" s="56"/>
      <c r="D211" s="56"/>
      <c r="E211" s="56"/>
      <c r="F211" s="57"/>
      <c r="G211" s="57"/>
      <c r="H211" s="57"/>
      <c r="I211" s="56"/>
      <c r="J211" s="56"/>
      <c r="K211" s="56"/>
      <c r="L211" s="56" t="s">
        <v>899</v>
      </c>
      <c r="M211" s="56">
        <v>6.5</v>
      </c>
      <c r="N211" s="56">
        <v>3</v>
      </c>
      <c r="O211" s="57">
        <v>19500</v>
      </c>
      <c r="P211" s="56">
        <v>5.3</v>
      </c>
      <c r="Q211" s="56">
        <v>15.9</v>
      </c>
      <c r="R211" s="56">
        <v>1.2</v>
      </c>
      <c r="S211" s="56">
        <v>3.6</v>
      </c>
      <c r="T211" s="56">
        <v>5.3</v>
      </c>
      <c r="U211" s="56">
        <v>15.9</v>
      </c>
      <c r="V211" s="56">
        <v>1.2</v>
      </c>
      <c r="W211" s="56">
        <v>3.6</v>
      </c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</row>
    <row r="212" spans="1:39" x14ac:dyDescent="0.4">
      <c r="A212" s="56"/>
      <c r="B212" s="59"/>
      <c r="C212" s="56"/>
      <c r="D212" s="56"/>
      <c r="E212" s="56"/>
      <c r="F212" s="57"/>
      <c r="G212" s="57"/>
      <c r="H212" s="57"/>
      <c r="I212" s="56"/>
      <c r="J212" s="56"/>
      <c r="K212" s="56"/>
      <c r="L212" s="56" t="s">
        <v>900</v>
      </c>
      <c r="M212" s="56">
        <v>10.1</v>
      </c>
      <c r="N212" s="56">
        <v>1</v>
      </c>
      <c r="O212" s="57">
        <v>10100</v>
      </c>
      <c r="P212" s="56">
        <v>8.6</v>
      </c>
      <c r="Q212" s="56">
        <v>8.6</v>
      </c>
      <c r="R212" s="56">
        <v>1.5</v>
      </c>
      <c r="S212" s="56">
        <v>1.5</v>
      </c>
      <c r="T212" s="56">
        <v>8.6</v>
      </c>
      <c r="U212" s="56">
        <v>8.6</v>
      </c>
      <c r="V212" s="56">
        <v>1.5</v>
      </c>
      <c r="W212" s="56">
        <v>1.5</v>
      </c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</row>
    <row r="213" spans="1:39" x14ac:dyDescent="0.4">
      <c r="A213" s="56"/>
      <c r="B213" s="59"/>
      <c r="C213" s="56"/>
      <c r="D213" s="56"/>
      <c r="E213" s="56"/>
      <c r="F213" s="57"/>
      <c r="G213" s="57"/>
      <c r="H213" s="57"/>
      <c r="I213" s="56"/>
      <c r="J213" s="56"/>
      <c r="K213" s="56"/>
      <c r="L213" s="56" t="s">
        <v>901</v>
      </c>
      <c r="M213" s="56">
        <v>3.5</v>
      </c>
      <c r="N213" s="56">
        <v>4</v>
      </c>
      <c r="O213" s="57">
        <v>14000</v>
      </c>
      <c r="P213" s="56">
        <v>3</v>
      </c>
      <c r="Q213" s="56">
        <v>12</v>
      </c>
      <c r="R213" s="56">
        <v>0.5</v>
      </c>
      <c r="S213" s="56">
        <v>2</v>
      </c>
      <c r="T213" s="56">
        <v>3</v>
      </c>
      <c r="U213" s="56">
        <v>12</v>
      </c>
      <c r="V213" s="56">
        <v>0.5</v>
      </c>
      <c r="W213" s="56">
        <v>2</v>
      </c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</row>
    <row r="214" spans="1:39" x14ac:dyDescent="0.4">
      <c r="A214" s="56"/>
      <c r="B214" s="59"/>
      <c r="C214" s="56"/>
      <c r="D214" s="56"/>
      <c r="E214" s="56"/>
      <c r="F214" s="57"/>
      <c r="G214" s="57"/>
      <c r="H214" s="57"/>
      <c r="I214" s="56"/>
      <c r="J214" s="56"/>
      <c r="K214" s="56"/>
      <c r="L214" s="56" t="s">
        <v>810</v>
      </c>
      <c r="M214" s="56"/>
      <c r="N214" s="56"/>
      <c r="O214" s="57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</row>
    <row r="215" spans="1:39" x14ac:dyDescent="0.4">
      <c r="A215" s="56"/>
      <c r="B215" s="59"/>
      <c r="C215" s="56"/>
      <c r="D215" s="56"/>
      <c r="E215" s="56"/>
      <c r="F215" s="57"/>
      <c r="G215" s="57"/>
      <c r="H215" s="57"/>
      <c r="I215" s="56"/>
      <c r="J215" s="56"/>
      <c r="K215" s="56"/>
      <c r="L215" s="57" t="s">
        <v>902</v>
      </c>
      <c r="M215" s="56">
        <v>21</v>
      </c>
      <c r="N215" s="56">
        <v>1</v>
      </c>
      <c r="O215" s="57">
        <v>21000</v>
      </c>
      <c r="P215" s="56">
        <v>19.2</v>
      </c>
      <c r="Q215" s="56">
        <v>19.2</v>
      </c>
      <c r="R215" s="56">
        <v>1.8</v>
      </c>
      <c r="S215" s="56">
        <v>1.8</v>
      </c>
      <c r="T215" s="56">
        <v>19.2</v>
      </c>
      <c r="U215" s="56">
        <v>19.2</v>
      </c>
      <c r="V215" s="56">
        <v>1.8</v>
      </c>
      <c r="W215" s="56">
        <v>1.8</v>
      </c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</row>
    <row r="216" spans="1:39" x14ac:dyDescent="0.4">
      <c r="A216" s="56"/>
      <c r="B216" s="59"/>
      <c r="C216" s="56"/>
      <c r="D216" s="56"/>
      <c r="E216" s="56"/>
      <c r="F216" s="57"/>
      <c r="G216" s="57"/>
      <c r="H216" s="57"/>
      <c r="I216" s="56"/>
      <c r="J216" s="56"/>
      <c r="K216" s="56"/>
      <c r="L216" s="57" t="s">
        <v>472</v>
      </c>
      <c r="M216" s="56"/>
      <c r="N216" s="56"/>
      <c r="O216" s="57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</row>
    <row r="217" spans="1:39" x14ac:dyDescent="0.4">
      <c r="A217" s="56"/>
      <c r="B217" s="59"/>
      <c r="C217" s="56"/>
      <c r="D217" s="56"/>
      <c r="E217" s="56"/>
      <c r="F217" s="57"/>
      <c r="G217" s="57"/>
      <c r="H217" s="57"/>
      <c r="I217" s="56"/>
      <c r="J217" s="56"/>
      <c r="K217" s="56"/>
      <c r="L217" s="57" t="s">
        <v>903</v>
      </c>
      <c r="M217" s="56">
        <v>16.899999999999999</v>
      </c>
      <c r="N217" s="56">
        <v>1</v>
      </c>
      <c r="O217" s="57">
        <v>16900</v>
      </c>
      <c r="P217" s="56">
        <v>14.4</v>
      </c>
      <c r="Q217" s="56">
        <v>14.4</v>
      </c>
      <c r="R217" s="56">
        <v>2.5</v>
      </c>
      <c r="S217" s="56">
        <v>2.5</v>
      </c>
      <c r="T217" s="56">
        <v>14.4</v>
      </c>
      <c r="U217" s="56">
        <v>14.4</v>
      </c>
      <c r="V217" s="56">
        <v>2.5</v>
      </c>
      <c r="W217" s="56">
        <v>2.5</v>
      </c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</row>
    <row r="218" spans="1:39" x14ac:dyDescent="0.4">
      <c r="A218" s="56"/>
      <c r="B218" s="59"/>
      <c r="C218" s="56"/>
      <c r="D218" s="56"/>
      <c r="E218" s="56"/>
      <c r="F218" s="57"/>
      <c r="G218" s="57"/>
      <c r="H218" s="57"/>
      <c r="I218" s="56"/>
      <c r="J218" s="56"/>
      <c r="K218" s="56"/>
      <c r="L218" s="57" t="s">
        <v>903</v>
      </c>
      <c r="M218" s="56">
        <v>20.100000000000001</v>
      </c>
      <c r="N218" s="56">
        <v>1</v>
      </c>
      <c r="O218" s="57">
        <v>20100</v>
      </c>
      <c r="P218" s="56">
        <v>17.399999999999999</v>
      </c>
      <c r="Q218" s="56">
        <v>17.399999999999999</v>
      </c>
      <c r="R218" s="56">
        <v>2.7</v>
      </c>
      <c r="S218" s="56">
        <v>2.7</v>
      </c>
      <c r="T218" s="56">
        <v>17.399999999999999</v>
      </c>
      <c r="U218" s="56">
        <v>17.399999999999999</v>
      </c>
      <c r="V218" s="56">
        <v>2.7</v>
      </c>
      <c r="W218" s="56">
        <v>2.7</v>
      </c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</row>
    <row r="219" spans="1:39" x14ac:dyDescent="0.4">
      <c r="A219" s="56"/>
      <c r="B219" s="59"/>
      <c r="C219" s="56"/>
      <c r="D219" s="56"/>
      <c r="E219" s="56"/>
      <c r="F219" s="57"/>
      <c r="G219" s="57"/>
      <c r="H219" s="57"/>
      <c r="I219" s="56"/>
      <c r="J219" s="56"/>
      <c r="K219" s="56"/>
      <c r="L219" s="57" t="s">
        <v>903</v>
      </c>
      <c r="M219" s="56">
        <v>22</v>
      </c>
      <c r="N219" s="56">
        <v>1</v>
      </c>
      <c r="O219" s="57">
        <v>22000</v>
      </c>
      <c r="P219" s="56">
        <v>19.3</v>
      </c>
      <c r="Q219" s="56">
        <v>19.3</v>
      </c>
      <c r="R219" s="56">
        <v>2.7</v>
      </c>
      <c r="S219" s="56">
        <v>2.7</v>
      </c>
      <c r="T219" s="56">
        <v>19.3</v>
      </c>
      <c r="U219" s="56">
        <v>19.3</v>
      </c>
      <c r="V219" s="56">
        <v>2.7</v>
      </c>
      <c r="W219" s="56">
        <v>2.7</v>
      </c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</row>
    <row r="220" spans="1:39" x14ac:dyDescent="0.4">
      <c r="A220" s="56"/>
      <c r="B220" s="59"/>
      <c r="C220" s="56"/>
      <c r="D220" s="56"/>
      <c r="E220" s="56"/>
      <c r="F220" s="57"/>
      <c r="G220" s="57"/>
      <c r="H220" s="57"/>
      <c r="I220" s="56"/>
      <c r="J220" s="56"/>
      <c r="K220" s="56"/>
      <c r="L220" s="57" t="s">
        <v>904</v>
      </c>
      <c r="M220" s="56">
        <v>9.5</v>
      </c>
      <c r="N220" s="56">
        <v>1</v>
      </c>
      <c r="O220" s="57">
        <v>9500</v>
      </c>
      <c r="P220" s="56">
        <v>8</v>
      </c>
      <c r="Q220" s="56">
        <v>8</v>
      </c>
      <c r="R220" s="56">
        <v>1.5</v>
      </c>
      <c r="S220" s="56">
        <v>1.5</v>
      </c>
      <c r="T220" s="56">
        <v>8</v>
      </c>
      <c r="U220" s="56">
        <v>8</v>
      </c>
      <c r="V220" s="56">
        <v>1.5</v>
      </c>
      <c r="W220" s="56">
        <v>1.5</v>
      </c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</row>
    <row r="221" spans="1:39" x14ac:dyDescent="0.4">
      <c r="A221" s="56"/>
      <c r="B221" s="59"/>
      <c r="C221" s="56"/>
      <c r="D221" s="56"/>
      <c r="E221" s="56"/>
      <c r="F221" s="57"/>
      <c r="G221" s="57"/>
      <c r="H221" s="57"/>
      <c r="I221" s="56"/>
      <c r="J221" s="56"/>
      <c r="K221" s="56"/>
      <c r="L221" s="57" t="s">
        <v>905</v>
      </c>
      <c r="M221" s="56">
        <v>21</v>
      </c>
      <c r="N221" s="56">
        <v>1</v>
      </c>
      <c r="O221" s="57">
        <v>21000</v>
      </c>
      <c r="P221" s="56">
        <v>18.3</v>
      </c>
      <c r="Q221" s="56">
        <v>18.3</v>
      </c>
      <c r="R221" s="56">
        <v>2.7</v>
      </c>
      <c r="S221" s="56">
        <v>2.7</v>
      </c>
      <c r="T221" s="56">
        <v>18.3</v>
      </c>
      <c r="U221" s="56">
        <v>18.3</v>
      </c>
      <c r="V221" s="56">
        <v>2.7</v>
      </c>
      <c r="W221" s="56">
        <v>2.7</v>
      </c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</row>
    <row r="222" spans="1:39" x14ac:dyDescent="0.4">
      <c r="A222" s="56"/>
      <c r="B222" s="59"/>
      <c r="C222" s="56"/>
      <c r="D222" s="56"/>
      <c r="E222" s="56"/>
      <c r="F222" s="57"/>
      <c r="G222" s="57"/>
      <c r="H222" s="57"/>
      <c r="I222" s="56"/>
      <c r="J222" s="56"/>
      <c r="K222" s="56"/>
      <c r="L222" s="57" t="s">
        <v>473</v>
      </c>
      <c r="M222" s="56"/>
      <c r="N222" s="56"/>
      <c r="O222" s="57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</row>
    <row r="223" spans="1:39" x14ac:dyDescent="0.4">
      <c r="A223" s="56"/>
      <c r="B223" s="59"/>
      <c r="C223" s="56"/>
      <c r="D223" s="56"/>
      <c r="E223" s="56"/>
      <c r="F223" s="57"/>
      <c r="G223" s="57"/>
      <c r="H223" s="57"/>
      <c r="I223" s="56"/>
      <c r="J223" s="56"/>
      <c r="K223" s="56"/>
      <c r="L223" s="57" t="s">
        <v>906</v>
      </c>
      <c r="M223" s="56">
        <v>45.2</v>
      </c>
      <c r="N223" s="56">
        <v>1</v>
      </c>
      <c r="O223" s="57">
        <v>45200</v>
      </c>
      <c r="P223" s="56">
        <v>44.8</v>
      </c>
      <c r="Q223" s="56">
        <v>44.8</v>
      </c>
      <c r="R223" s="56">
        <v>0.4</v>
      </c>
      <c r="S223" s="56">
        <v>0.4</v>
      </c>
      <c r="T223" s="56">
        <v>44.8</v>
      </c>
      <c r="U223" s="56">
        <v>44.8</v>
      </c>
      <c r="V223" s="56">
        <v>0.4</v>
      </c>
      <c r="W223" s="56">
        <v>0.4</v>
      </c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</row>
    <row r="224" spans="1:39" x14ac:dyDescent="0.4">
      <c r="A224" s="56"/>
      <c r="B224" s="59"/>
      <c r="C224" s="56"/>
      <c r="D224" s="56"/>
      <c r="E224" s="56"/>
      <c r="F224" s="57"/>
      <c r="G224" s="57"/>
      <c r="H224" s="57"/>
      <c r="I224" s="56"/>
      <c r="J224" s="56"/>
      <c r="K224" s="56"/>
      <c r="L224" s="56" t="s">
        <v>907</v>
      </c>
      <c r="M224" s="56"/>
      <c r="N224" s="56"/>
      <c r="O224" s="57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</row>
    <row r="225" spans="1:39" x14ac:dyDescent="0.4">
      <c r="A225" s="56"/>
      <c r="B225" s="59"/>
      <c r="C225" s="56"/>
      <c r="D225" s="56"/>
      <c r="E225" s="56"/>
      <c r="F225" s="57"/>
      <c r="G225" s="57"/>
      <c r="H225" s="57"/>
      <c r="I225" s="56"/>
      <c r="J225" s="56"/>
      <c r="K225" s="56"/>
      <c r="L225" s="57" t="s">
        <v>908</v>
      </c>
      <c r="M225" s="56">
        <v>29.8</v>
      </c>
      <c r="N225" s="56">
        <v>3</v>
      </c>
      <c r="O225" s="57">
        <v>89400</v>
      </c>
      <c r="P225" s="56">
        <v>29.6</v>
      </c>
      <c r="Q225" s="56">
        <v>88.8</v>
      </c>
      <c r="R225" s="56">
        <v>0.2</v>
      </c>
      <c r="S225" s="56">
        <v>0.6</v>
      </c>
      <c r="T225" s="56">
        <v>29.6</v>
      </c>
      <c r="U225" s="56">
        <v>88.8</v>
      </c>
      <c r="V225" s="56">
        <v>0.2</v>
      </c>
      <c r="W225" s="56">
        <v>0.6</v>
      </c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</row>
    <row r="226" spans="1:39" x14ac:dyDescent="0.4">
      <c r="A226" s="56"/>
      <c r="B226" s="59"/>
      <c r="C226" s="56"/>
      <c r="D226" s="56"/>
      <c r="E226" s="56"/>
      <c r="F226" s="57"/>
      <c r="G226" s="57"/>
      <c r="H226" s="57"/>
      <c r="I226" s="56"/>
      <c r="J226" s="56"/>
      <c r="K226" s="56"/>
      <c r="L226" s="56" t="s">
        <v>909</v>
      </c>
      <c r="M226" s="56">
        <v>32.1</v>
      </c>
      <c r="N226" s="56">
        <v>1</v>
      </c>
      <c r="O226" s="57">
        <v>32100</v>
      </c>
      <c r="P226" s="56">
        <v>31.9</v>
      </c>
      <c r="Q226" s="56">
        <v>31.9</v>
      </c>
      <c r="R226" s="56">
        <v>0.2</v>
      </c>
      <c r="S226" s="56">
        <v>0.2</v>
      </c>
      <c r="T226" s="56">
        <v>31.9</v>
      </c>
      <c r="U226" s="56">
        <v>31.9</v>
      </c>
      <c r="V226" s="56">
        <v>0.2</v>
      </c>
      <c r="W226" s="56">
        <v>0.2</v>
      </c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</row>
    <row r="227" spans="1:39" x14ac:dyDescent="0.4">
      <c r="A227" s="56"/>
      <c r="B227" s="59"/>
      <c r="C227" s="56"/>
      <c r="D227" s="56"/>
      <c r="E227" s="56"/>
      <c r="F227" s="57"/>
      <c r="G227" s="57"/>
      <c r="H227" s="57"/>
      <c r="I227" s="56"/>
      <c r="J227" s="56"/>
      <c r="K227" s="56"/>
      <c r="L227" s="57" t="s">
        <v>910</v>
      </c>
      <c r="M227" s="56"/>
      <c r="N227" s="56"/>
      <c r="O227" s="57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</row>
    <row r="228" spans="1:39" x14ac:dyDescent="0.4">
      <c r="A228" s="56"/>
      <c r="B228" s="59"/>
      <c r="C228" s="56"/>
      <c r="D228" s="56"/>
      <c r="E228" s="56"/>
      <c r="F228" s="57"/>
      <c r="G228" s="57"/>
      <c r="H228" s="57"/>
      <c r="I228" s="56"/>
      <c r="J228" s="56"/>
      <c r="K228" s="56"/>
      <c r="L228" s="56" t="s">
        <v>908</v>
      </c>
      <c r="M228" s="56">
        <v>31</v>
      </c>
      <c r="N228" s="56">
        <v>3</v>
      </c>
      <c r="O228" s="57">
        <v>93000</v>
      </c>
      <c r="P228" s="56">
        <v>30.8</v>
      </c>
      <c r="Q228" s="56">
        <v>92.4</v>
      </c>
      <c r="R228" s="56">
        <v>0.2</v>
      </c>
      <c r="S228" s="56">
        <v>0.6</v>
      </c>
      <c r="T228" s="56">
        <v>30.8</v>
      </c>
      <c r="U228" s="56">
        <v>92.4</v>
      </c>
      <c r="V228" s="56">
        <v>0.2</v>
      </c>
      <c r="W228" s="56">
        <v>0.6</v>
      </c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</row>
    <row r="229" spans="1:39" x14ac:dyDescent="0.4">
      <c r="A229" s="56"/>
      <c r="B229" s="59"/>
      <c r="C229" s="56"/>
      <c r="D229" s="56"/>
      <c r="E229" s="56"/>
      <c r="F229" s="57"/>
      <c r="G229" s="57"/>
      <c r="H229" s="57"/>
      <c r="I229" s="56"/>
      <c r="J229" s="56"/>
      <c r="K229" s="56"/>
      <c r="L229" s="56" t="s">
        <v>910</v>
      </c>
      <c r="M229" s="56"/>
      <c r="N229" s="56"/>
      <c r="O229" s="57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</row>
    <row r="230" spans="1:39" x14ac:dyDescent="0.4">
      <c r="A230" s="56"/>
      <c r="B230" s="59"/>
      <c r="C230" s="56"/>
      <c r="D230" s="56"/>
      <c r="E230" s="56"/>
      <c r="F230" s="57"/>
      <c r="G230" s="57"/>
      <c r="H230" s="57"/>
      <c r="I230" s="56"/>
      <c r="J230" s="56"/>
      <c r="K230" s="56"/>
      <c r="L230" s="57" t="s">
        <v>911</v>
      </c>
      <c r="M230" s="56">
        <v>31</v>
      </c>
      <c r="N230" s="56">
        <v>1</v>
      </c>
      <c r="O230" s="57">
        <v>31000</v>
      </c>
      <c r="P230" s="56">
        <v>30.8</v>
      </c>
      <c r="Q230" s="56">
        <v>30.8</v>
      </c>
      <c r="R230" s="56">
        <v>0.2</v>
      </c>
      <c r="S230" s="56">
        <v>0.2</v>
      </c>
      <c r="T230" s="56">
        <v>30.8</v>
      </c>
      <c r="U230" s="56">
        <v>30.8</v>
      </c>
      <c r="V230" s="56">
        <v>0.2</v>
      </c>
      <c r="W230" s="56">
        <v>0.2</v>
      </c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</row>
    <row r="231" spans="1:39" x14ac:dyDescent="0.4">
      <c r="A231" s="56"/>
      <c r="B231" s="59"/>
      <c r="C231" s="56"/>
      <c r="D231" s="56"/>
      <c r="E231" s="56"/>
      <c r="F231" s="57"/>
      <c r="G231" s="57"/>
      <c r="H231" s="57"/>
      <c r="I231" s="56"/>
      <c r="J231" s="56"/>
      <c r="K231" s="56"/>
      <c r="L231" s="56" t="s">
        <v>763</v>
      </c>
      <c r="M231" s="56">
        <v>1.3</v>
      </c>
      <c r="N231" s="56">
        <v>1</v>
      </c>
      <c r="O231" s="57">
        <v>1300</v>
      </c>
      <c r="P231" s="56">
        <v>0</v>
      </c>
      <c r="Q231" s="56">
        <v>0</v>
      </c>
      <c r="R231" s="56">
        <v>1.3</v>
      </c>
      <c r="S231" s="56">
        <v>1.3</v>
      </c>
      <c r="T231" s="56">
        <v>0</v>
      </c>
      <c r="U231" s="56">
        <v>0</v>
      </c>
      <c r="V231" s="56">
        <v>1.3</v>
      </c>
      <c r="W231" s="56">
        <v>1.3</v>
      </c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</row>
    <row r="232" spans="1:39" x14ac:dyDescent="0.4">
      <c r="A232" s="56"/>
      <c r="B232" s="59"/>
      <c r="C232" s="56"/>
      <c r="D232" s="56"/>
      <c r="E232" s="56"/>
      <c r="F232" s="57"/>
      <c r="G232" s="57"/>
      <c r="H232" s="57"/>
      <c r="I232" s="56"/>
      <c r="J232" s="56"/>
      <c r="K232" s="56"/>
      <c r="L232" s="57" t="s">
        <v>474</v>
      </c>
      <c r="M232" s="56"/>
      <c r="N232" s="56"/>
      <c r="O232" s="57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</row>
    <row r="233" spans="1:39" x14ac:dyDescent="0.4">
      <c r="A233" s="56"/>
      <c r="B233" s="59"/>
      <c r="C233" s="56"/>
      <c r="D233" s="56"/>
      <c r="E233" s="56"/>
      <c r="F233" s="57"/>
      <c r="G233" s="57"/>
      <c r="H233" s="57"/>
      <c r="I233" s="56"/>
      <c r="J233" s="56"/>
      <c r="K233" s="56"/>
      <c r="L233" s="56" t="s">
        <v>475</v>
      </c>
      <c r="M233" s="56">
        <v>2.5</v>
      </c>
      <c r="N233" s="56">
        <v>3</v>
      </c>
      <c r="O233" s="57">
        <v>7500</v>
      </c>
      <c r="P233" s="56">
        <v>0</v>
      </c>
      <c r="Q233" s="56">
        <v>0</v>
      </c>
      <c r="R233" s="56">
        <v>2.5</v>
      </c>
      <c r="S233" s="56">
        <v>7.5</v>
      </c>
      <c r="T233" s="56">
        <v>0</v>
      </c>
      <c r="U233" s="56">
        <v>0</v>
      </c>
      <c r="V233" s="56">
        <v>2.5</v>
      </c>
      <c r="W233" s="56">
        <v>7.5</v>
      </c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</row>
    <row r="234" spans="1:39" x14ac:dyDescent="0.4">
      <c r="A234" s="56"/>
      <c r="B234" s="59"/>
      <c r="C234" s="56"/>
      <c r="D234" s="56"/>
      <c r="E234" s="56"/>
      <c r="F234" s="57"/>
      <c r="G234" s="57"/>
      <c r="H234" s="57"/>
      <c r="I234" s="56"/>
      <c r="J234" s="56"/>
      <c r="K234" s="56"/>
      <c r="L234" s="57" t="s">
        <v>476</v>
      </c>
      <c r="M234" s="56"/>
      <c r="N234" s="56"/>
      <c r="O234" s="57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</row>
    <row r="235" spans="1:39" x14ac:dyDescent="0.4">
      <c r="A235" s="56"/>
      <c r="B235" s="59"/>
      <c r="C235" s="56"/>
      <c r="D235" s="56"/>
      <c r="E235" s="56"/>
      <c r="F235" s="57"/>
      <c r="G235" s="57"/>
      <c r="H235" s="57"/>
      <c r="I235" s="56"/>
      <c r="J235" s="56"/>
      <c r="K235" s="56"/>
      <c r="L235" s="57" t="s">
        <v>912</v>
      </c>
      <c r="M235" s="56">
        <v>65</v>
      </c>
      <c r="N235" s="56">
        <v>1</v>
      </c>
      <c r="O235" s="57">
        <v>65000</v>
      </c>
      <c r="P235" s="56">
        <v>62</v>
      </c>
      <c r="Q235" s="56">
        <v>62</v>
      </c>
      <c r="R235" s="56">
        <v>3</v>
      </c>
      <c r="S235" s="56">
        <v>3</v>
      </c>
      <c r="T235" s="56">
        <v>62</v>
      </c>
      <c r="U235" s="56">
        <v>62</v>
      </c>
      <c r="V235" s="56">
        <v>3</v>
      </c>
      <c r="W235" s="56">
        <v>3</v>
      </c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</row>
    <row r="236" spans="1:39" x14ac:dyDescent="0.4">
      <c r="A236" s="56"/>
      <c r="B236" s="59"/>
      <c r="C236" s="56"/>
      <c r="D236" s="56"/>
      <c r="E236" s="56"/>
      <c r="F236" s="57"/>
      <c r="G236" s="57"/>
      <c r="H236" s="57"/>
      <c r="I236" s="56"/>
      <c r="J236" s="56" t="s">
        <v>243</v>
      </c>
      <c r="K236" s="56"/>
      <c r="L236" s="57" t="s">
        <v>913</v>
      </c>
      <c r="M236" s="56">
        <v>37.700000000000003</v>
      </c>
      <c r="N236" s="56">
        <v>1</v>
      </c>
      <c r="O236" s="57">
        <v>37700</v>
      </c>
      <c r="P236" s="56">
        <v>35.6</v>
      </c>
      <c r="Q236" s="56">
        <v>35.6</v>
      </c>
      <c r="R236" s="56">
        <v>2.1</v>
      </c>
      <c r="S236" s="56">
        <v>2.1</v>
      </c>
      <c r="T236" s="56">
        <v>35.6</v>
      </c>
      <c r="U236" s="56">
        <v>35.6</v>
      </c>
      <c r="V236" s="56">
        <v>2.1</v>
      </c>
      <c r="W236" s="56">
        <v>2.1</v>
      </c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</row>
    <row r="237" spans="1:39" x14ac:dyDescent="0.4">
      <c r="A237" s="56"/>
      <c r="B237" s="59"/>
      <c r="C237" s="56"/>
      <c r="D237" s="56"/>
      <c r="E237" s="56"/>
      <c r="F237" s="57"/>
      <c r="G237" s="57"/>
      <c r="H237" s="57"/>
      <c r="I237" s="56"/>
      <c r="J237" s="56"/>
      <c r="K237" s="56"/>
      <c r="L237" s="57" t="s">
        <v>914</v>
      </c>
      <c r="M237" s="56">
        <v>3.5</v>
      </c>
      <c r="N237" s="56">
        <v>1</v>
      </c>
      <c r="O237" s="57">
        <v>3500</v>
      </c>
      <c r="P237" s="56">
        <v>2.9</v>
      </c>
      <c r="Q237" s="56">
        <v>2.9</v>
      </c>
      <c r="R237" s="56">
        <v>0.6</v>
      </c>
      <c r="S237" s="56">
        <v>0.6</v>
      </c>
      <c r="T237" s="56">
        <v>2.9</v>
      </c>
      <c r="U237" s="56">
        <v>2.9</v>
      </c>
      <c r="V237" s="56">
        <v>0.6</v>
      </c>
      <c r="W237" s="56">
        <v>0.6</v>
      </c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</row>
    <row r="238" spans="1:39" x14ac:dyDescent="0.4">
      <c r="A238" s="56"/>
      <c r="B238" s="59"/>
      <c r="C238" s="56"/>
      <c r="D238" s="56"/>
      <c r="E238" s="56"/>
      <c r="F238" s="57"/>
      <c r="G238" s="57"/>
      <c r="H238" s="57"/>
      <c r="I238" s="56"/>
      <c r="J238" s="56"/>
      <c r="K238" s="56"/>
      <c r="L238" s="56" t="s">
        <v>915</v>
      </c>
      <c r="M238" s="56">
        <v>-0.1</v>
      </c>
      <c r="N238" s="56">
        <v>3</v>
      </c>
      <c r="O238" s="57">
        <v>-300</v>
      </c>
      <c r="P238" s="56">
        <v>0.4</v>
      </c>
      <c r="Q238" s="56">
        <v>1.2</v>
      </c>
      <c r="R238" s="56">
        <v>-0.5</v>
      </c>
      <c r="S238" s="56">
        <v>-1.5</v>
      </c>
      <c r="T238" s="56">
        <v>0.4</v>
      </c>
      <c r="U238" s="56">
        <v>1.2</v>
      </c>
      <c r="V238" s="56">
        <v>-0.5</v>
      </c>
      <c r="W238" s="56">
        <v>-1.5</v>
      </c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</row>
    <row r="239" spans="1:39" x14ac:dyDescent="0.4">
      <c r="A239" s="56"/>
      <c r="B239" s="59"/>
      <c r="C239" s="56"/>
      <c r="D239" s="56"/>
      <c r="E239" s="56"/>
      <c r="F239" s="57"/>
      <c r="G239" s="57"/>
      <c r="H239" s="57"/>
      <c r="I239" s="56"/>
      <c r="J239" s="56"/>
      <c r="K239" s="56"/>
      <c r="L239" s="57" t="s">
        <v>916</v>
      </c>
      <c r="M239" s="56"/>
      <c r="N239" s="56"/>
      <c r="O239" s="57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</row>
    <row r="240" spans="1:39" x14ac:dyDescent="0.4">
      <c r="A240" s="56"/>
      <c r="B240" s="59"/>
      <c r="C240" s="56"/>
      <c r="D240" s="56"/>
      <c r="E240" s="56"/>
      <c r="F240" s="57"/>
      <c r="G240" s="57"/>
      <c r="H240" s="57"/>
      <c r="I240" s="56"/>
      <c r="J240" s="56"/>
      <c r="K240" s="56"/>
      <c r="L240" s="57" t="s">
        <v>811</v>
      </c>
      <c r="M240" s="56"/>
      <c r="N240" s="56"/>
      <c r="O240" s="57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</row>
    <row r="241" spans="1:39" x14ac:dyDescent="0.4">
      <c r="A241" s="56"/>
      <c r="B241" s="59"/>
      <c r="C241" s="56"/>
      <c r="D241" s="56"/>
      <c r="E241" s="56"/>
      <c r="F241" s="57"/>
      <c r="G241" s="57"/>
      <c r="H241" s="57"/>
      <c r="I241" s="56"/>
      <c r="J241" s="56"/>
      <c r="K241" s="56"/>
      <c r="L241" s="56" t="s">
        <v>812</v>
      </c>
      <c r="M241" s="56">
        <v>0.7</v>
      </c>
      <c r="N241" s="56">
        <v>15</v>
      </c>
      <c r="O241" s="57">
        <v>10500</v>
      </c>
      <c r="P241" s="56">
        <v>0.5</v>
      </c>
      <c r="Q241" s="56">
        <v>7.5</v>
      </c>
      <c r="R241" s="56">
        <v>0.2</v>
      </c>
      <c r="S241" s="56">
        <v>3</v>
      </c>
      <c r="T241" s="56">
        <v>0.5</v>
      </c>
      <c r="U241" s="56">
        <v>7.5</v>
      </c>
      <c r="V241" s="56">
        <v>0.2</v>
      </c>
      <c r="W241" s="56">
        <v>3</v>
      </c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</row>
    <row r="242" spans="1:39" x14ac:dyDescent="0.4">
      <c r="A242" s="56"/>
      <c r="B242" s="59"/>
      <c r="C242" s="56"/>
      <c r="D242" s="56"/>
      <c r="E242" s="56"/>
      <c r="F242" s="57"/>
      <c r="G242" s="57"/>
      <c r="H242" s="57"/>
      <c r="I242" s="56"/>
      <c r="J242" s="56"/>
      <c r="K242" s="56" t="s">
        <v>477</v>
      </c>
      <c r="L242" s="57"/>
      <c r="M242" s="56"/>
      <c r="N242" s="56"/>
      <c r="O242" s="57">
        <v>1074800</v>
      </c>
      <c r="P242" s="56"/>
      <c r="Q242" s="56">
        <v>1002.2</v>
      </c>
      <c r="R242" s="56"/>
      <c r="S242" s="56">
        <v>72.599999999999994</v>
      </c>
      <c r="T242" s="56"/>
      <c r="U242" s="56">
        <v>1002.2</v>
      </c>
      <c r="V242" s="56"/>
      <c r="W242" s="56">
        <v>72.599999999999994</v>
      </c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</row>
    <row r="243" spans="1:39" x14ac:dyDescent="0.4">
      <c r="A243" s="56"/>
      <c r="B243" s="59"/>
      <c r="C243" s="56"/>
      <c r="D243" s="56"/>
      <c r="E243" s="56"/>
      <c r="F243" s="57"/>
      <c r="G243" s="57"/>
      <c r="H243" s="57"/>
      <c r="I243" s="56"/>
      <c r="J243" s="56"/>
      <c r="K243" s="56" t="s">
        <v>478</v>
      </c>
      <c r="L243" s="56"/>
      <c r="M243" s="56"/>
      <c r="N243" s="56"/>
      <c r="O243" s="57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</row>
    <row r="244" spans="1:39" x14ac:dyDescent="0.4">
      <c r="A244" s="56"/>
      <c r="B244" s="59"/>
      <c r="C244" s="56"/>
      <c r="D244" s="56"/>
      <c r="E244" s="56"/>
      <c r="F244" s="57"/>
      <c r="G244" s="57"/>
      <c r="H244" s="57"/>
      <c r="I244" s="56"/>
      <c r="J244" s="56"/>
      <c r="K244" s="56"/>
      <c r="L244" s="57" t="s">
        <v>764</v>
      </c>
      <c r="M244" s="56"/>
      <c r="N244" s="56"/>
      <c r="O244" s="57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</row>
    <row r="245" spans="1:39" x14ac:dyDescent="0.4">
      <c r="A245" s="56"/>
      <c r="B245" s="59"/>
      <c r="C245" s="56"/>
      <c r="D245" s="56"/>
      <c r="E245" s="56"/>
      <c r="F245" s="57"/>
      <c r="G245" s="57"/>
      <c r="H245" s="57"/>
      <c r="I245" s="56"/>
      <c r="J245" s="56"/>
      <c r="K245" s="56"/>
      <c r="L245" s="57" t="s">
        <v>813</v>
      </c>
      <c r="M245" s="56">
        <v>4.0999999999999996</v>
      </c>
      <c r="N245" s="56">
        <v>2</v>
      </c>
      <c r="O245" s="57">
        <v>8200</v>
      </c>
      <c r="P245" s="56">
        <v>3</v>
      </c>
      <c r="Q245" s="56">
        <v>6</v>
      </c>
      <c r="R245" s="56">
        <v>1.1000000000000001</v>
      </c>
      <c r="S245" s="56">
        <v>2.2000000000000002</v>
      </c>
      <c r="T245" s="56">
        <v>3</v>
      </c>
      <c r="U245" s="56">
        <v>6</v>
      </c>
      <c r="V245" s="56">
        <v>1.1000000000000001</v>
      </c>
      <c r="W245" s="56">
        <v>2.2000000000000002</v>
      </c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</row>
    <row r="246" spans="1:39" x14ac:dyDescent="0.4">
      <c r="A246" s="56"/>
      <c r="B246" s="59"/>
      <c r="C246" s="56"/>
      <c r="D246" s="56"/>
      <c r="E246" s="56"/>
      <c r="F246" s="57"/>
      <c r="G246" s="57"/>
      <c r="H246" s="57"/>
      <c r="I246" s="56"/>
      <c r="J246" s="56"/>
      <c r="K246" s="56"/>
      <c r="L246" s="56" t="s">
        <v>814</v>
      </c>
      <c r="M246" s="56">
        <v>1.3</v>
      </c>
      <c r="N246" s="56">
        <v>2</v>
      </c>
      <c r="O246" s="57">
        <v>2600</v>
      </c>
      <c r="P246" s="56">
        <v>1</v>
      </c>
      <c r="Q246" s="56">
        <v>2</v>
      </c>
      <c r="R246" s="56">
        <v>0.3</v>
      </c>
      <c r="S246" s="56">
        <v>0.6</v>
      </c>
      <c r="T246" s="56">
        <v>1</v>
      </c>
      <c r="U246" s="56">
        <v>2</v>
      </c>
      <c r="V246" s="56">
        <v>0.3</v>
      </c>
      <c r="W246" s="56">
        <v>0.6</v>
      </c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</row>
    <row r="247" spans="1:39" x14ac:dyDescent="0.4">
      <c r="A247" s="56"/>
      <c r="B247" s="59"/>
      <c r="C247" s="56"/>
      <c r="D247" s="56"/>
      <c r="E247" s="56"/>
      <c r="F247" s="57"/>
      <c r="G247" s="57"/>
      <c r="H247" s="57"/>
      <c r="I247" s="56"/>
      <c r="J247" s="56"/>
      <c r="K247" s="56" t="s">
        <v>479</v>
      </c>
      <c r="L247" s="57"/>
      <c r="M247" s="56"/>
      <c r="N247" s="56"/>
      <c r="O247" s="57">
        <v>10800</v>
      </c>
      <c r="P247" s="56"/>
      <c r="Q247" s="56">
        <v>8</v>
      </c>
      <c r="R247" s="56"/>
      <c r="S247" s="56">
        <v>2.8</v>
      </c>
      <c r="T247" s="56"/>
      <c r="U247" s="56">
        <v>8</v>
      </c>
      <c r="V247" s="56"/>
      <c r="W247" s="56">
        <v>2.8</v>
      </c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</row>
    <row r="248" spans="1:39" x14ac:dyDescent="0.4">
      <c r="A248" s="56"/>
      <c r="B248" s="59"/>
      <c r="C248" s="56"/>
      <c r="D248" s="56"/>
      <c r="E248" s="56"/>
      <c r="F248" s="57"/>
      <c r="G248" s="57"/>
      <c r="H248" s="57"/>
      <c r="I248" s="56"/>
      <c r="J248" s="56"/>
      <c r="K248" s="56" t="s">
        <v>480</v>
      </c>
      <c r="L248" s="56"/>
      <c r="M248" s="56"/>
      <c r="N248" s="56"/>
      <c r="O248" s="57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</row>
    <row r="249" spans="1:39" x14ac:dyDescent="0.4">
      <c r="A249" s="56"/>
      <c r="B249" s="59"/>
      <c r="C249" s="56"/>
      <c r="D249" s="56"/>
      <c r="E249" s="56"/>
      <c r="F249" s="57"/>
      <c r="G249" s="57"/>
      <c r="H249" s="57"/>
      <c r="I249" s="56"/>
      <c r="J249" s="56"/>
      <c r="K249" s="56"/>
      <c r="L249" s="56" t="s">
        <v>815</v>
      </c>
      <c r="M249" s="56"/>
      <c r="N249" s="56"/>
      <c r="O249" s="57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</row>
    <row r="250" spans="1:39" x14ac:dyDescent="0.4">
      <c r="A250" s="56"/>
      <c r="B250" s="59"/>
      <c r="C250" s="56"/>
      <c r="D250" s="56"/>
      <c r="E250" s="56"/>
      <c r="F250" s="57"/>
      <c r="G250" s="57"/>
      <c r="H250" s="57"/>
      <c r="I250" s="56"/>
      <c r="J250" s="56"/>
      <c r="K250" s="56"/>
      <c r="L250" s="56" t="s">
        <v>917</v>
      </c>
      <c r="M250" s="56">
        <v>241.5</v>
      </c>
      <c r="N250" s="56">
        <v>1</v>
      </c>
      <c r="O250" s="57">
        <v>241500</v>
      </c>
      <c r="P250" s="56">
        <v>210</v>
      </c>
      <c r="Q250" s="56">
        <v>210</v>
      </c>
      <c r="R250" s="56">
        <v>31.5</v>
      </c>
      <c r="S250" s="56">
        <v>31.5</v>
      </c>
      <c r="T250" s="56">
        <v>210</v>
      </c>
      <c r="U250" s="57">
        <v>210</v>
      </c>
      <c r="V250" s="56">
        <v>31.5</v>
      </c>
      <c r="W250" s="56">
        <v>31.5</v>
      </c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</row>
    <row r="251" spans="1:39" x14ac:dyDescent="0.4">
      <c r="A251" s="56"/>
      <c r="B251" s="59"/>
      <c r="C251" s="56"/>
      <c r="D251" s="56"/>
      <c r="E251" s="56"/>
      <c r="F251" s="57"/>
      <c r="G251" s="57"/>
      <c r="H251" s="57"/>
      <c r="I251" s="56"/>
      <c r="J251" s="56"/>
      <c r="K251" s="56" t="s">
        <v>481</v>
      </c>
      <c r="L251" s="56"/>
      <c r="M251" s="56"/>
      <c r="N251" s="56"/>
      <c r="O251" s="57">
        <v>241500</v>
      </c>
      <c r="P251" s="56"/>
      <c r="Q251" s="56">
        <v>210</v>
      </c>
      <c r="R251" s="57"/>
      <c r="S251" s="56">
        <v>31.5</v>
      </c>
      <c r="T251" s="56"/>
      <c r="U251" s="56">
        <v>210</v>
      </c>
      <c r="V251" s="56"/>
      <c r="W251" s="56">
        <v>31.5</v>
      </c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</row>
    <row r="252" spans="1:39" x14ac:dyDescent="0.4">
      <c r="A252" s="56"/>
      <c r="B252" s="59"/>
      <c r="C252" s="56"/>
      <c r="D252" s="56"/>
      <c r="E252" s="56"/>
      <c r="F252" s="57"/>
      <c r="G252" s="57"/>
      <c r="H252" s="57"/>
      <c r="I252" s="56"/>
      <c r="J252" s="56"/>
      <c r="K252" s="56" t="s">
        <v>482</v>
      </c>
      <c r="L252" s="56"/>
      <c r="M252" s="56"/>
      <c r="N252" s="56"/>
      <c r="O252" s="57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</row>
    <row r="253" spans="1:39" x14ac:dyDescent="0.4">
      <c r="A253" s="56"/>
      <c r="B253" s="59"/>
      <c r="C253" s="56"/>
      <c r="D253" s="56"/>
      <c r="E253" s="56"/>
      <c r="F253" s="57"/>
      <c r="G253" s="57"/>
      <c r="H253" s="57"/>
      <c r="I253" s="56"/>
      <c r="J253" s="56"/>
      <c r="K253" s="56" t="s">
        <v>483</v>
      </c>
      <c r="L253" s="56"/>
      <c r="M253" s="56"/>
      <c r="N253" s="56"/>
      <c r="O253" s="57">
        <v>0</v>
      </c>
      <c r="P253" s="56"/>
      <c r="Q253" s="56">
        <v>0</v>
      </c>
      <c r="R253" s="57"/>
      <c r="S253" s="56">
        <v>0</v>
      </c>
      <c r="T253" s="56"/>
      <c r="U253" s="56">
        <v>0</v>
      </c>
      <c r="V253" s="56"/>
      <c r="W253" s="56">
        <v>0</v>
      </c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</row>
    <row r="254" spans="1:39" x14ac:dyDescent="0.4">
      <c r="A254" s="56"/>
      <c r="B254" s="59"/>
      <c r="C254" s="56"/>
      <c r="D254" s="56"/>
      <c r="E254" s="56"/>
      <c r="F254" s="57"/>
      <c r="G254" s="57"/>
      <c r="H254" s="57"/>
      <c r="I254" s="56"/>
      <c r="J254" s="56"/>
      <c r="K254" s="56" t="s">
        <v>484</v>
      </c>
      <c r="L254" s="56"/>
      <c r="M254" s="56"/>
      <c r="N254" s="56"/>
      <c r="O254" s="57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</row>
    <row r="255" spans="1:39" x14ac:dyDescent="0.4">
      <c r="A255" s="56"/>
      <c r="B255" s="59"/>
      <c r="C255" s="56"/>
      <c r="D255" s="56"/>
      <c r="E255" s="56"/>
      <c r="F255" s="57"/>
      <c r="G255" s="57"/>
      <c r="H255" s="57"/>
      <c r="I255" s="56"/>
      <c r="J255" s="56"/>
      <c r="K255" s="56" t="s">
        <v>485</v>
      </c>
      <c r="L255" s="56"/>
      <c r="M255" s="56"/>
      <c r="N255" s="56"/>
      <c r="O255" s="57">
        <v>0</v>
      </c>
      <c r="P255" s="56"/>
      <c r="Q255" s="56">
        <v>0</v>
      </c>
      <c r="R255" s="57"/>
      <c r="S255" s="56">
        <v>0</v>
      </c>
      <c r="T255" s="56"/>
      <c r="U255" s="56">
        <v>0</v>
      </c>
      <c r="V255" s="56"/>
      <c r="W255" s="56">
        <v>0</v>
      </c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</row>
    <row r="256" spans="1:39" x14ac:dyDescent="0.4">
      <c r="A256" s="56"/>
      <c r="B256" s="59"/>
      <c r="C256" s="56"/>
      <c r="D256" s="56"/>
      <c r="E256" s="56"/>
      <c r="F256" s="57"/>
      <c r="G256" s="57"/>
      <c r="H256" s="57"/>
      <c r="I256" s="56"/>
      <c r="J256" s="56"/>
      <c r="K256" s="56" t="s">
        <v>486</v>
      </c>
      <c r="L256" s="56"/>
      <c r="M256" s="56"/>
      <c r="N256" s="56"/>
      <c r="O256" s="57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</row>
    <row r="257" spans="1:39" x14ac:dyDescent="0.4">
      <c r="A257" s="56"/>
      <c r="B257" s="59"/>
      <c r="C257" s="56"/>
      <c r="D257" s="56"/>
      <c r="E257" s="56"/>
      <c r="F257" s="57"/>
      <c r="G257" s="57"/>
      <c r="H257" s="57"/>
      <c r="I257" s="56"/>
      <c r="J257" s="56" t="s">
        <v>243</v>
      </c>
      <c r="K257" s="56"/>
      <c r="L257" s="56" t="s">
        <v>918</v>
      </c>
      <c r="M257" s="56">
        <v>25.3</v>
      </c>
      <c r="N257" s="56">
        <v>9</v>
      </c>
      <c r="O257" s="57">
        <v>227700</v>
      </c>
      <c r="P257" s="56">
        <v>0</v>
      </c>
      <c r="Q257" s="56">
        <v>0</v>
      </c>
      <c r="R257" s="56">
        <v>25.3</v>
      </c>
      <c r="S257" s="56">
        <v>227.7</v>
      </c>
      <c r="T257" s="56">
        <v>0</v>
      </c>
      <c r="U257" s="56">
        <v>0</v>
      </c>
      <c r="V257" s="56">
        <v>25.3</v>
      </c>
      <c r="W257" s="56">
        <v>227.7</v>
      </c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</row>
    <row r="258" spans="1:39" x14ac:dyDescent="0.4">
      <c r="A258" s="56"/>
      <c r="B258" s="59"/>
      <c r="C258" s="56"/>
      <c r="D258" s="56"/>
      <c r="E258" s="56"/>
      <c r="F258" s="57"/>
      <c r="G258" s="57"/>
      <c r="H258" s="57"/>
      <c r="I258" s="56"/>
      <c r="J258" s="56"/>
      <c r="K258" s="56"/>
      <c r="L258" s="56" t="s">
        <v>919</v>
      </c>
      <c r="M258" s="56">
        <v>42.4</v>
      </c>
      <c r="N258" s="56">
        <v>1</v>
      </c>
      <c r="O258" s="57">
        <v>42400</v>
      </c>
      <c r="P258" s="56">
        <v>0</v>
      </c>
      <c r="Q258" s="56">
        <v>0</v>
      </c>
      <c r="R258" s="56">
        <v>42.4</v>
      </c>
      <c r="S258" s="56">
        <v>42.4</v>
      </c>
      <c r="T258" s="56">
        <v>0</v>
      </c>
      <c r="U258" s="57">
        <v>0</v>
      </c>
      <c r="V258" s="56">
        <v>42.4</v>
      </c>
      <c r="W258" s="56">
        <v>42.4</v>
      </c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</row>
    <row r="259" spans="1:39" x14ac:dyDescent="0.4">
      <c r="A259" s="56"/>
      <c r="B259" s="59"/>
      <c r="C259" s="56"/>
      <c r="D259" s="56"/>
      <c r="E259" s="56"/>
      <c r="F259" s="57"/>
      <c r="G259" s="57"/>
      <c r="H259" s="57"/>
      <c r="I259" s="56"/>
      <c r="J259" s="56"/>
      <c r="K259" s="56" t="s">
        <v>487</v>
      </c>
      <c r="L259" s="56"/>
      <c r="M259" s="56"/>
      <c r="N259" s="56"/>
      <c r="O259" s="57">
        <v>270100</v>
      </c>
      <c r="P259" s="56"/>
      <c r="Q259" s="56">
        <v>0</v>
      </c>
      <c r="R259" s="57"/>
      <c r="S259" s="56">
        <v>270.10000000000002</v>
      </c>
      <c r="T259" s="56"/>
      <c r="U259" s="56">
        <v>0</v>
      </c>
      <c r="V259" s="56"/>
      <c r="W259" s="56">
        <v>270.10000000000002</v>
      </c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</row>
    <row r="260" spans="1:39" x14ac:dyDescent="0.4">
      <c r="A260" s="56"/>
      <c r="B260" s="59"/>
      <c r="C260" s="56"/>
      <c r="D260" s="56"/>
      <c r="E260" s="56"/>
      <c r="F260" s="57"/>
      <c r="G260" s="57"/>
      <c r="H260" s="57"/>
      <c r="I260" s="56"/>
      <c r="J260" s="56" t="s">
        <v>231</v>
      </c>
      <c r="K260" s="56"/>
      <c r="L260" s="56"/>
      <c r="M260" s="56"/>
      <c r="N260" s="56"/>
      <c r="O260" s="57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</row>
    <row r="261" spans="1:39" x14ac:dyDescent="0.4">
      <c r="A261" s="56"/>
      <c r="B261" s="59"/>
      <c r="C261" s="56"/>
      <c r="D261" s="56"/>
      <c r="E261" s="56"/>
      <c r="F261" s="57"/>
      <c r="G261" s="57"/>
      <c r="H261" s="57"/>
      <c r="I261" s="56"/>
      <c r="J261" s="56"/>
      <c r="K261" s="56" t="s">
        <v>488</v>
      </c>
      <c r="L261" s="56"/>
      <c r="M261" s="56"/>
      <c r="N261" s="56"/>
      <c r="O261" s="57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</row>
    <row r="262" spans="1:39" x14ac:dyDescent="0.4">
      <c r="A262" s="56"/>
      <c r="B262" s="59"/>
      <c r="C262" s="56"/>
      <c r="D262" s="56"/>
      <c r="E262" s="56"/>
      <c r="F262" s="57"/>
      <c r="G262" s="57"/>
      <c r="H262" s="57"/>
      <c r="I262" s="56"/>
      <c r="J262" s="56"/>
      <c r="K262" s="56"/>
      <c r="L262" s="56" t="s">
        <v>816</v>
      </c>
      <c r="M262" s="56"/>
      <c r="N262" s="56"/>
      <c r="O262" s="57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</row>
    <row r="263" spans="1:39" x14ac:dyDescent="0.4">
      <c r="A263" s="56"/>
      <c r="B263" s="59"/>
      <c r="C263" s="56"/>
      <c r="D263" s="56"/>
      <c r="E263" s="56"/>
      <c r="F263" s="57"/>
      <c r="G263" s="57"/>
      <c r="H263" s="57"/>
      <c r="I263" s="56"/>
      <c r="J263" s="56"/>
      <c r="K263" s="56"/>
      <c r="L263" s="56" t="s">
        <v>817</v>
      </c>
      <c r="M263" s="56">
        <v>11.3</v>
      </c>
      <c r="N263" s="56">
        <v>1</v>
      </c>
      <c r="O263" s="57">
        <v>11300</v>
      </c>
      <c r="P263" s="56">
        <v>0</v>
      </c>
      <c r="Q263" s="56">
        <v>0</v>
      </c>
      <c r="R263" s="56">
        <v>11.3</v>
      </c>
      <c r="S263" s="56">
        <v>11.3</v>
      </c>
      <c r="T263" s="56">
        <v>0</v>
      </c>
      <c r="U263" s="56">
        <v>0</v>
      </c>
      <c r="V263" s="56">
        <v>11.3</v>
      </c>
      <c r="W263" s="56">
        <v>11.3</v>
      </c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</row>
    <row r="264" spans="1:39" x14ac:dyDescent="0.4">
      <c r="A264" s="56"/>
      <c r="B264" s="59"/>
      <c r="C264" s="56"/>
      <c r="D264" s="56"/>
      <c r="E264" s="56"/>
      <c r="F264" s="57"/>
      <c r="G264" s="57"/>
      <c r="H264" s="57"/>
      <c r="I264" s="56"/>
      <c r="J264" s="56"/>
      <c r="K264" s="56"/>
      <c r="L264" s="56" t="s">
        <v>920</v>
      </c>
      <c r="M264" s="56"/>
      <c r="N264" s="56"/>
      <c r="O264" s="57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</row>
    <row r="265" spans="1:39" x14ac:dyDescent="0.4">
      <c r="A265" s="56"/>
      <c r="B265" s="59"/>
      <c r="C265" s="56"/>
      <c r="D265" s="56"/>
      <c r="E265" s="56"/>
      <c r="F265" s="57"/>
      <c r="G265" s="57"/>
      <c r="H265" s="57"/>
      <c r="I265" s="56"/>
      <c r="J265" s="56"/>
      <c r="K265" s="56"/>
      <c r="L265" s="56" t="s">
        <v>921</v>
      </c>
      <c r="M265" s="56">
        <v>588</v>
      </c>
      <c r="N265" s="56">
        <v>1</v>
      </c>
      <c r="O265" s="57">
        <v>588000</v>
      </c>
      <c r="P265" s="56">
        <v>588</v>
      </c>
      <c r="Q265" s="56">
        <v>588</v>
      </c>
      <c r="R265" s="56">
        <v>0</v>
      </c>
      <c r="S265" s="56">
        <v>0</v>
      </c>
      <c r="T265" s="56">
        <v>588</v>
      </c>
      <c r="U265" s="57">
        <v>588</v>
      </c>
      <c r="V265" s="56">
        <v>0</v>
      </c>
      <c r="W265" s="56">
        <v>0</v>
      </c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</row>
    <row r="266" spans="1:39" x14ac:dyDescent="0.4">
      <c r="A266" s="56"/>
      <c r="B266" s="59"/>
      <c r="C266" s="56"/>
      <c r="D266" s="56"/>
      <c r="E266" s="56"/>
      <c r="F266" s="57"/>
      <c r="G266" s="57"/>
      <c r="H266" s="57"/>
      <c r="I266" s="56"/>
      <c r="J266" s="56"/>
      <c r="K266" s="56"/>
      <c r="L266" s="56" t="s">
        <v>922</v>
      </c>
      <c r="M266" s="56">
        <v>173</v>
      </c>
      <c r="N266" s="56">
        <v>1</v>
      </c>
      <c r="O266" s="57">
        <v>173000</v>
      </c>
      <c r="P266" s="56">
        <v>173</v>
      </c>
      <c r="Q266" s="56">
        <v>173</v>
      </c>
      <c r="R266" s="56">
        <v>0</v>
      </c>
      <c r="S266" s="56">
        <v>0</v>
      </c>
      <c r="T266" s="56">
        <v>173</v>
      </c>
      <c r="U266" s="56">
        <v>173</v>
      </c>
      <c r="V266" s="56">
        <v>0</v>
      </c>
      <c r="W266" s="56">
        <v>0</v>
      </c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</row>
    <row r="267" spans="1:39" x14ac:dyDescent="0.4">
      <c r="A267" s="56"/>
      <c r="B267" s="59"/>
      <c r="C267" s="56"/>
      <c r="D267" s="56"/>
      <c r="E267" s="56"/>
      <c r="F267" s="57"/>
      <c r="G267" s="57"/>
      <c r="H267" s="57"/>
      <c r="I267" s="56"/>
      <c r="J267" s="56"/>
      <c r="K267" s="56"/>
      <c r="L267" s="56" t="s">
        <v>923</v>
      </c>
      <c r="M267" s="56">
        <v>99</v>
      </c>
      <c r="N267" s="56">
        <v>1</v>
      </c>
      <c r="O267" s="57">
        <v>99000</v>
      </c>
      <c r="P267" s="56">
        <v>99</v>
      </c>
      <c r="Q267" s="56">
        <v>99</v>
      </c>
      <c r="R267" s="56">
        <v>0</v>
      </c>
      <c r="S267" s="56">
        <v>0</v>
      </c>
      <c r="T267" s="56">
        <v>99</v>
      </c>
      <c r="U267" s="56">
        <v>99</v>
      </c>
      <c r="V267" s="56">
        <v>0</v>
      </c>
      <c r="W267" s="56">
        <v>0</v>
      </c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</row>
    <row r="268" spans="1:39" x14ac:dyDescent="0.4">
      <c r="A268" s="56"/>
      <c r="B268" s="59"/>
      <c r="C268" s="56"/>
      <c r="D268" s="56"/>
      <c r="E268" s="56"/>
      <c r="F268" s="57"/>
      <c r="G268" s="57"/>
      <c r="H268" s="57"/>
      <c r="I268" s="56"/>
      <c r="J268" s="56"/>
      <c r="K268" s="56"/>
      <c r="L268" s="56" t="s">
        <v>924</v>
      </c>
      <c r="M268" s="56">
        <v>49.5</v>
      </c>
      <c r="N268" s="56">
        <v>2</v>
      </c>
      <c r="O268" s="57">
        <v>99000</v>
      </c>
      <c r="P268" s="56">
        <v>49.5</v>
      </c>
      <c r="Q268" s="56">
        <v>99</v>
      </c>
      <c r="R268" s="56">
        <v>0</v>
      </c>
      <c r="S268" s="56">
        <v>0</v>
      </c>
      <c r="T268" s="56">
        <v>49.5</v>
      </c>
      <c r="U268" s="57">
        <v>99</v>
      </c>
      <c r="V268" s="56">
        <v>0</v>
      </c>
      <c r="W268" s="56">
        <v>0</v>
      </c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</row>
    <row r="269" spans="1:39" x14ac:dyDescent="0.4">
      <c r="A269" s="56"/>
      <c r="B269" s="59"/>
      <c r="C269" s="56"/>
      <c r="D269" s="56"/>
      <c r="E269" s="56"/>
      <c r="F269" s="57"/>
      <c r="G269" s="57"/>
      <c r="H269" s="57"/>
      <c r="I269" s="56"/>
      <c r="J269" s="56"/>
      <c r="K269" s="56"/>
      <c r="L269" s="56" t="s">
        <v>925</v>
      </c>
      <c r="M269" s="56">
        <v>33.5</v>
      </c>
      <c r="N269" s="56">
        <v>1</v>
      </c>
      <c r="O269" s="57">
        <v>33500</v>
      </c>
      <c r="P269" s="56">
        <v>33.5</v>
      </c>
      <c r="Q269" s="56">
        <v>33.5</v>
      </c>
      <c r="R269" s="56">
        <v>0</v>
      </c>
      <c r="S269" s="56">
        <v>0</v>
      </c>
      <c r="T269" s="56">
        <v>33.5</v>
      </c>
      <c r="U269" s="57">
        <v>33.5</v>
      </c>
      <c r="V269" s="56">
        <v>0</v>
      </c>
      <c r="W269" s="56">
        <v>0</v>
      </c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</row>
    <row r="270" spans="1:39" x14ac:dyDescent="0.4">
      <c r="A270" s="56"/>
      <c r="B270" s="59"/>
      <c r="C270" s="56"/>
      <c r="D270" s="56"/>
      <c r="E270" s="56"/>
      <c r="F270" s="57"/>
      <c r="G270" s="57"/>
      <c r="H270" s="57"/>
      <c r="I270" s="56"/>
      <c r="J270" s="56"/>
      <c r="K270" s="56"/>
      <c r="L270" s="56" t="s">
        <v>926</v>
      </c>
      <c r="M270" s="56">
        <v>89.5</v>
      </c>
      <c r="N270" s="56">
        <v>1</v>
      </c>
      <c r="O270" s="57">
        <v>89500</v>
      </c>
      <c r="P270" s="56">
        <v>89.5</v>
      </c>
      <c r="Q270" s="56">
        <v>89.5</v>
      </c>
      <c r="R270" s="56">
        <v>0</v>
      </c>
      <c r="S270" s="56">
        <v>0</v>
      </c>
      <c r="T270" s="56">
        <v>89.5</v>
      </c>
      <c r="U270" s="56">
        <v>89.5</v>
      </c>
      <c r="V270" s="56">
        <v>0</v>
      </c>
      <c r="W270" s="56">
        <v>0</v>
      </c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</row>
    <row r="271" spans="1:39" x14ac:dyDescent="0.4">
      <c r="A271" s="56"/>
      <c r="B271" s="59"/>
      <c r="C271" s="56"/>
      <c r="D271" s="56"/>
      <c r="E271" s="56"/>
      <c r="F271" s="57"/>
      <c r="G271" s="57"/>
      <c r="H271" s="57"/>
      <c r="I271" s="56"/>
      <c r="J271" s="56"/>
      <c r="K271" s="56"/>
      <c r="L271" s="56" t="s">
        <v>927</v>
      </c>
      <c r="M271" s="56"/>
      <c r="N271" s="56"/>
      <c r="O271" s="57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</row>
    <row r="272" spans="1:39" x14ac:dyDescent="0.4">
      <c r="A272" s="56"/>
      <c r="B272" s="59"/>
      <c r="C272" s="56"/>
      <c r="D272" s="56"/>
      <c r="E272" s="56"/>
      <c r="F272" s="57"/>
      <c r="G272" s="57"/>
      <c r="H272" s="57"/>
      <c r="I272" s="56"/>
      <c r="J272" s="56"/>
      <c r="K272" s="56"/>
      <c r="L272" s="56" t="s">
        <v>928</v>
      </c>
      <c r="M272" s="56"/>
      <c r="N272" s="56"/>
      <c r="O272" s="57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</row>
    <row r="273" spans="1:39" x14ac:dyDescent="0.4">
      <c r="A273" s="56"/>
      <c r="B273" s="59"/>
      <c r="C273" s="56"/>
      <c r="D273" s="56"/>
      <c r="E273" s="56"/>
      <c r="F273" s="57"/>
      <c r="G273" s="57"/>
      <c r="H273" s="57"/>
      <c r="I273" s="56"/>
      <c r="J273" s="56"/>
      <c r="K273" s="56"/>
      <c r="L273" s="56" t="s">
        <v>929</v>
      </c>
      <c r="M273" s="56">
        <v>76</v>
      </c>
      <c r="N273" s="56">
        <v>1</v>
      </c>
      <c r="O273" s="57">
        <v>76000</v>
      </c>
      <c r="P273" s="56">
        <v>76</v>
      </c>
      <c r="Q273" s="56">
        <v>76</v>
      </c>
      <c r="R273" s="56">
        <v>0</v>
      </c>
      <c r="S273" s="56">
        <v>0</v>
      </c>
      <c r="T273" s="56">
        <v>76</v>
      </c>
      <c r="U273" s="56">
        <v>76</v>
      </c>
      <c r="V273" s="56">
        <v>0</v>
      </c>
      <c r="W273" s="56">
        <v>0</v>
      </c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</row>
    <row r="274" spans="1:39" x14ac:dyDescent="0.4">
      <c r="A274" s="56"/>
      <c r="B274" s="59"/>
      <c r="C274" s="56"/>
      <c r="D274" s="56"/>
      <c r="E274" s="56"/>
      <c r="F274" s="57"/>
      <c r="G274" s="57"/>
      <c r="H274" s="57"/>
      <c r="I274" s="56"/>
      <c r="J274" s="56"/>
      <c r="K274" s="56"/>
      <c r="L274" s="56" t="s">
        <v>930</v>
      </c>
      <c r="M274" s="56">
        <v>3</v>
      </c>
      <c r="N274" s="56">
        <v>1</v>
      </c>
      <c r="O274" s="57">
        <v>3000</v>
      </c>
      <c r="P274" s="56">
        <v>3</v>
      </c>
      <c r="Q274" s="56">
        <v>3</v>
      </c>
      <c r="R274" s="56">
        <v>0</v>
      </c>
      <c r="S274" s="56">
        <v>0</v>
      </c>
      <c r="T274" s="56">
        <v>3</v>
      </c>
      <c r="U274" s="57">
        <v>3</v>
      </c>
      <c r="V274" s="56">
        <v>0</v>
      </c>
      <c r="W274" s="56">
        <v>0</v>
      </c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</row>
    <row r="275" spans="1:39" x14ac:dyDescent="0.4">
      <c r="A275" s="56"/>
      <c r="B275" s="59"/>
      <c r="C275" s="56"/>
      <c r="D275" s="56"/>
      <c r="E275" s="56"/>
      <c r="F275" s="57"/>
      <c r="G275" s="57"/>
      <c r="H275" s="57"/>
      <c r="I275" s="56"/>
      <c r="J275" s="56"/>
      <c r="K275" s="56"/>
      <c r="L275" s="56" t="s">
        <v>931</v>
      </c>
      <c r="M275" s="56">
        <v>32.5</v>
      </c>
      <c r="N275" s="56">
        <v>1</v>
      </c>
      <c r="O275" s="57">
        <v>32500</v>
      </c>
      <c r="P275" s="56">
        <v>32.5</v>
      </c>
      <c r="Q275" s="56">
        <v>32.5</v>
      </c>
      <c r="R275" s="56">
        <v>0</v>
      </c>
      <c r="S275" s="56">
        <v>0</v>
      </c>
      <c r="T275" s="56">
        <v>32.5</v>
      </c>
      <c r="U275" s="57">
        <v>32.5</v>
      </c>
      <c r="V275" s="56">
        <v>0</v>
      </c>
      <c r="W275" s="56">
        <v>0</v>
      </c>
      <c r="X275" s="58"/>
      <c r="Y275" s="56"/>
      <c r="Z275" s="56"/>
      <c r="AA275" s="56"/>
      <c r="AB275" s="58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</row>
    <row r="276" spans="1:39" x14ac:dyDescent="0.4">
      <c r="A276" s="56"/>
      <c r="B276" s="59"/>
      <c r="C276" s="56"/>
      <c r="D276" s="56"/>
      <c r="E276" s="56"/>
      <c r="F276" s="57"/>
      <c r="G276" s="57"/>
      <c r="H276" s="57"/>
      <c r="I276" s="56"/>
      <c r="J276" s="56"/>
      <c r="K276" s="56"/>
      <c r="L276" s="56" t="s">
        <v>489</v>
      </c>
      <c r="M276" s="56"/>
      <c r="N276" s="56"/>
      <c r="O276" s="57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</row>
    <row r="277" spans="1:39" x14ac:dyDescent="0.4">
      <c r="A277" s="56"/>
      <c r="B277" s="59"/>
      <c r="C277" s="56"/>
      <c r="D277" s="56"/>
      <c r="E277" s="56"/>
      <c r="F277" s="57"/>
      <c r="G277" s="57"/>
      <c r="H277" s="57"/>
      <c r="I277" s="56"/>
      <c r="J277" s="56"/>
      <c r="K277" s="56"/>
      <c r="L277" s="56" t="s">
        <v>932</v>
      </c>
      <c r="M277" s="56">
        <v>425</v>
      </c>
      <c r="N277" s="56">
        <v>1</v>
      </c>
      <c r="O277" s="57">
        <v>425000</v>
      </c>
      <c r="P277" s="56">
        <v>423</v>
      </c>
      <c r="Q277" s="56">
        <v>423</v>
      </c>
      <c r="R277" s="56">
        <v>2</v>
      </c>
      <c r="S277" s="56">
        <v>2</v>
      </c>
      <c r="T277" s="56">
        <v>423</v>
      </c>
      <c r="U277" s="56">
        <v>423</v>
      </c>
      <c r="V277" s="56">
        <v>2</v>
      </c>
      <c r="W277" s="56">
        <v>2</v>
      </c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</row>
    <row r="278" spans="1:39" x14ac:dyDescent="0.4">
      <c r="A278" s="56"/>
      <c r="B278" s="59"/>
      <c r="C278" s="56"/>
      <c r="D278" s="56"/>
      <c r="E278" s="56"/>
      <c r="F278" s="57"/>
      <c r="G278" s="57"/>
      <c r="H278" s="57"/>
      <c r="I278" s="56"/>
      <c r="J278" s="56"/>
      <c r="K278" s="56"/>
      <c r="L278" s="56" t="s">
        <v>933</v>
      </c>
      <c r="M278" s="56">
        <v>95.5</v>
      </c>
      <c r="N278" s="56">
        <v>1</v>
      </c>
      <c r="O278" s="57">
        <v>95500</v>
      </c>
      <c r="P278" s="56">
        <v>92</v>
      </c>
      <c r="Q278" s="56">
        <v>92</v>
      </c>
      <c r="R278" s="56">
        <v>3.5</v>
      </c>
      <c r="S278" s="56">
        <v>3.5</v>
      </c>
      <c r="T278" s="56">
        <v>92</v>
      </c>
      <c r="U278" s="57">
        <v>92</v>
      </c>
      <c r="V278" s="56">
        <v>3.5</v>
      </c>
      <c r="W278" s="56">
        <v>3.5</v>
      </c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</row>
    <row r="279" spans="1:39" x14ac:dyDescent="0.4">
      <c r="A279" s="56"/>
      <c r="B279" s="59"/>
      <c r="C279" s="56"/>
      <c r="D279" s="56"/>
      <c r="E279" s="56"/>
      <c r="F279" s="57"/>
      <c r="G279" s="57"/>
      <c r="H279" s="57"/>
      <c r="I279" s="56"/>
      <c r="J279" s="56"/>
      <c r="K279" s="56"/>
      <c r="L279" s="56" t="s">
        <v>490</v>
      </c>
      <c r="M279" s="56"/>
      <c r="N279" s="56"/>
      <c r="O279" s="57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</row>
    <row r="280" spans="1:39" x14ac:dyDescent="0.4">
      <c r="A280" s="56"/>
      <c r="B280" s="59"/>
      <c r="C280" s="56"/>
      <c r="D280" s="56"/>
      <c r="E280" s="56"/>
      <c r="F280" s="57"/>
      <c r="G280" s="57"/>
      <c r="H280" s="57"/>
      <c r="I280" s="56"/>
      <c r="J280" s="56"/>
      <c r="K280" s="56"/>
      <c r="L280" s="56" t="s">
        <v>934</v>
      </c>
      <c r="M280" s="56">
        <v>51.5</v>
      </c>
      <c r="N280" s="56">
        <v>1</v>
      </c>
      <c r="O280" s="57">
        <v>51500</v>
      </c>
      <c r="P280" s="56">
        <v>40</v>
      </c>
      <c r="Q280" s="56">
        <v>40</v>
      </c>
      <c r="R280" s="56">
        <v>11.5</v>
      </c>
      <c r="S280" s="56">
        <v>11.5</v>
      </c>
      <c r="T280" s="56">
        <v>40</v>
      </c>
      <c r="U280" s="57">
        <v>40</v>
      </c>
      <c r="V280" s="56">
        <v>11.5</v>
      </c>
      <c r="W280" s="56">
        <v>11.5</v>
      </c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</row>
    <row r="281" spans="1:39" x14ac:dyDescent="0.4">
      <c r="A281" s="56"/>
      <c r="B281" s="59"/>
      <c r="C281" s="56"/>
      <c r="D281" s="56"/>
      <c r="E281" s="56"/>
      <c r="F281" s="57"/>
      <c r="G281" s="57"/>
      <c r="H281" s="57"/>
      <c r="I281" s="56"/>
      <c r="J281" s="56"/>
      <c r="K281" s="56"/>
      <c r="L281" s="56" t="s">
        <v>491</v>
      </c>
      <c r="M281" s="56"/>
      <c r="N281" s="56"/>
      <c r="O281" s="57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</row>
    <row r="282" spans="1:39" x14ac:dyDescent="0.4">
      <c r="A282" s="56"/>
      <c r="B282" s="59"/>
      <c r="C282" s="56"/>
      <c r="D282" s="56"/>
      <c r="E282" s="56"/>
      <c r="F282" s="57"/>
      <c r="G282" s="57"/>
      <c r="H282" s="57"/>
      <c r="I282" s="56"/>
      <c r="J282" s="56"/>
      <c r="K282" s="56"/>
      <c r="L282" s="56" t="s">
        <v>935</v>
      </c>
      <c r="M282" s="56">
        <v>42.4</v>
      </c>
      <c r="N282" s="56">
        <v>1</v>
      </c>
      <c r="O282" s="57">
        <v>42400</v>
      </c>
      <c r="P282" s="56">
        <v>8.4</v>
      </c>
      <c r="Q282" s="56">
        <v>8.4</v>
      </c>
      <c r="R282" s="56">
        <v>34</v>
      </c>
      <c r="S282" s="56">
        <v>34</v>
      </c>
      <c r="T282" s="56">
        <v>8.4</v>
      </c>
      <c r="U282" s="57">
        <v>8.4</v>
      </c>
      <c r="V282" s="56">
        <v>34</v>
      </c>
      <c r="W282" s="56">
        <v>34</v>
      </c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</row>
    <row r="283" spans="1:39" x14ac:dyDescent="0.4">
      <c r="A283" s="56"/>
      <c r="B283" s="59"/>
      <c r="C283" s="56"/>
      <c r="D283" s="56"/>
      <c r="E283" s="56"/>
      <c r="F283" s="57"/>
      <c r="G283" s="57"/>
      <c r="H283" s="57"/>
      <c r="I283" s="56"/>
      <c r="J283" s="56"/>
      <c r="K283" s="56"/>
      <c r="L283" s="56" t="s">
        <v>492</v>
      </c>
      <c r="M283" s="56">
        <v>1.8</v>
      </c>
      <c r="N283" s="56">
        <v>1</v>
      </c>
      <c r="O283" s="57">
        <v>1800</v>
      </c>
      <c r="P283" s="56">
        <v>0</v>
      </c>
      <c r="Q283" s="56">
        <v>0</v>
      </c>
      <c r="R283" s="56">
        <v>1.8</v>
      </c>
      <c r="S283" s="56">
        <v>1.8</v>
      </c>
      <c r="T283" s="56">
        <v>0</v>
      </c>
      <c r="U283" s="56">
        <v>0</v>
      </c>
      <c r="V283" s="56">
        <v>1.8</v>
      </c>
      <c r="W283" s="56">
        <v>1.8</v>
      </c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</row>
    <row r="284" spans="1:39" x14ac:dyDescent="0.4">
      <c r="A284" s="56"/>
      <c r="B284" s="59"/>
      <c r="C284" s="56"/>
      <c r="D284" s="56"/>
      <c r="E284" s="56"/>
      <c r="F284" s="57"/>
      <c r="G284" s="57"/>
      <c r="H284" s="57"/>
      <c r="I284" s="56"/>
      <c r="J284" s="56"/>
      <c r="K284" s="56"/>
      <c r="L284" s="56" t="s">
        <v>493</v>
      </c>
      <c r="M284" s="56">
        <v>23.9</v>
      </c>
      <c r="N284" s="56">
        <v>1</v>
      </c>
      <c r="O284" s="57">
        <v>23900</v>
      </c>
      <c r="P284" s="56">
        <v>0</v>
      </c>
      <c r="Q284" s="56">
        <v>0</v>
      </c>
      <c r="R284" s="56">
        <v>23.9</v>
      </c>
      <c r="S284" s="56">
        <v>23.9</v>
      </c>
      <c r="T284" s="56">
        <v>0</v>
      </c>
      <c r="U284" s="57">
        <v>0</v>
      </c>
      <c r="V284" s="56">
        <v>23.9</v>
      </c>
      <c r="W284" s="56">
        <v>23.9</v>
      </c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</row>
    <row r="285" spans="1:39" x14ac:dyDescent="0.4">
      <c r="A285" s="56"/>
      <c r="B285" s="59"/>
      <c r="C285" s="56"/>
      <c r="D285" s="56"/>
      <c r="E285" s="56"/>
      <c r="F285" s="57"/>
      <c r="G285" s="57"/>
      <c r="H285" s="57"/>
      <c r="I285" s="56"/>
      <c r="J285" s="56"/>
      <c r="K285" s="56"/>
      <c r="L285" s="56" t="s">
        <v>844</v>
      </c>
      <c r="M285" s="56">
        <v>7.7</v>
      </c>
      <c r="N285" s="56">
        <v>1</v>
      </c>
      <c r="O285" s="57">
        <v>7700</v>
      </c>
      <c r="P285" s="56">
        <v>0</v>
      </c>
      <c r="Q285" s="56">
        <v>0</v>
      </c>
      <c r="R285" s="56">
        <v>7.7</v>
      </c>
      <c r="S285" s="56">
        <v>7.7</v>
      </c>
      <c r="T285" s="56">
        <v>0</v>
      </c>
      <c r="U285" s="57">
        <v>0</v>
      </c>
      <c r="V285" s="56">
        <v>7.7</v>
      </c>
      <c r="W285" s="56">
        <v>7.7</v>
      </c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</row>
    <row r="286" spans="1:39" x14ac:dyDescent="0.4">
      <c r="A286" s="56"/>
      <c r="B286" s="59"/>
      <c r="C286" s="56"/>
      <c r="D286" s="56"/>
      <c r="E286" s="56"/>
      <c r="F286" s="57"/>
      <c r="G286" s="57"/>
      <c r="H286" s="57"/>
      <c r="I286" s="56"/>
      <c r="J286" s="56"/>
      <c r="K286" s="56"/>
      <c r="L286" s="56" t="s">
        <v>494</v>
      </c>
      <c r="M286" s="56"/>
      <c r="N286" s="56"/>
      <c r="O286" s="57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</row>
    <row r="287" spans="1:39" x14ac:dyDescent="0.4">
      <c r="A287" s="56"/>
      <c r="B287" s="59"/>
      <c r="C287" s="56"/>
      <c r="D287" s="56"/>
      <c r="E287" s="56"/>
      <c r="F287" s="57"/>
      <c r="G287" s="57"/>
      <c r="H287" s="57"/>
      <c r="I287" s="56"/>
      <c r="J287" s="56"/>
      <c r="K287" s="56"/>
      <c r="L287" s="56" t="s">
        <v>495</v>
      </c>
      <c r="M287" s="56">
        <v>23.5</v>
      </c>
      <c r="N287" s="56">
        <v>1</v>
      </c>
      <c r="O287" s="57">
        <v>23500</v>
      </c>
      <c r="P287" s="56">
        <v>19</v>
      </c>
      <c r="Q287" s="56">
        <v>19</v>
      </c>
      <c r="R287" s="56">
        <v>4.5</v>
      </c>
      <c r="S287" s="56">
        <v>4.5</v>
      </c>
      <c r="T287" s="56">
        <v>19</v>
      </c>
      <c r="U287" s="57">
        <v>19</v>
      </c>
      <c r="V287" s="56">
        <v>4.5</v>
      </c>
      <c r="W287" s="56">
        <v>4.5</v>
      </c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</row>
    <row r="288" spans="1:39" x14ac:dyDescent="0.4">
      <c r="A288" s="56"/>
      <c r="B288" s="59"/>
      <c r="C288" s="56"/>
      <c r="D288" s="56"/>
      <c r="E288" s="56"/>
      <c r="F288" s="57"/>
      <c r="G288" s="57"/>
      <c r="H288" s="57"/>
      <c r="I288" s="56"/>
      <c r="J288" s="56"/>
      <c r="K288" s="56"/>
      <c r="L288" s="56" t="s">
        <v>496</v>
      </c>
      <c r="M288" s="56">
        <v>11.4</v>
      </c>
      <c r="N288" s="56">
        <v>1</v>
      </c>
      <c r="O288" s="57">
        <v>11400</v>
      </c>
      <c r="P288" s="56">
        <v>8</v>
      </c>
      <c r="Q288" s="56">
        <v>8</v>
      </c>
      <c r="R288" s="56">
        <v>3.4</v>
      </c>
      <c r="S288" s="56">
        <v>3.4</v>
      </c>
      <c r="T288" s="56">
        <v>8</v>
      </c>
      <c r="U288" s="57">
        <v>8</v>
      </c>
      <c r="V288" s="56">
        <v>3.4</v>
      </c>
      <c r="W288" s="56">
        <v>3.4</v>
      </c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</row>
    <row r="289" spans="1:39" x14ac:dyDescent="0.4">
      <c r="A289" s="56"/>
      <c r="B289" s="59"/>
      <c r="C289" s="56"/>
      <c r="D289" s="56"/>
      <c r="E289" s="56"/>
      <c r="F289" s="57"/>
      <c r="G289" s="57"/>
      <c r="H289" s="57"/>
      <c r="I289" s="56"/>
      <c r="J289" s="56"/>
      <c r="K289" s="56"/>
      <c r="L289" s="56" t="s">
        <v>497</v>
      </c>
      <c r="M289" s="56">
        <v>5.4</v>
      </c>
      <c r="N289" s="56">
        <v>1</v>
      </c>
      <c r="O289" s="57">
        <v>5400</v>
      </c>
      <c r="P289" s="56">
        <v>5</v>
      </c>
      <c r="Q289" s="56">
        <v>5</v>
      </c>
      <c r="R289" s="56">
        <v>0.4</v>
      </c>
      <c r="S289" s="56">
        <v>0.4</v>
      </c>
      <c r="T289" s="56">
        <v>5</v>
      </c>
      <c r="U289" s="57">
        <v>5</v>
      </c>
      <c r="V289" s="56">
        <v>0.4</v>
      </c>
      <c r="W289" s="56">
        <v>0.4</v>
      </c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</row>
    <row r="290" spans="1:39" x14ac:dyDescent="0.4">
      <c r="A290" s="56"/>
      <c r="B290" s="59"/>
      <c r="C290" s="56"/>
      <c r="D290" s="56"/>
      <c r="E290" s="56"/>
      <c r="F290" s="57"/>
      <c r="G290" s="57"/>
      <c r="H290" s="57"/>
      <c r="I290" s="56"/>
      <c r="J290" s="56"/>
      <c r="K290" s="56"/>
      <c r="L290" s="56" t="s">
        <v>498</v>
      </c>
      <c r="M290" s="56"/>
      <c r="N290" s="56"/>
      <c r="O290" s="57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</row>
    <row r="291" spans="1:39" x14ac:dyDescent="0.4">
      <c r="A291" s="56"/>
      <c r="B291" s="59"/>
      <c r="C291" s="56"/>
      <c r="D291" s="56"/>
      <c r="E291" s="56"/>
      <c r="F291" s="57"/>
      <c r="G291" s="57"/>
      <c r="H291" s="57"/>
      <c r="I291" s="56"/>
      <c r="J291" s="56"/>
      <c r="K291" s="56"/>
      <c r="L291" s="56" t="s">
        <v>818</v>
      </c>
      <c r="M291" s="56">
        <v>1788.9</v>
      </c>
      <c r="N291" s="56">
        <v>0.44</v>
      </c>
      <c r="O291" s="57">
        <v>787116</v>
      </c>
      <c r="P291" s="56">
        <v>0</v>
      </c>
      <c r="Q291" s="56">
        <v>0</v>
      </c>
      <c r="R291" s="56">
        <v>1788.9</v>
      </c>
      <c r="S291" s="56">
        <v>787.11599999999999</v>
      </c>
      <c r="T291" s="56">
        <v>0</v>
      </c>
      <c r="U291" s="56">
        <v>0</v>
      </c>
      <c r="V291" s="56">
        <v>1788.9</v>
      </c>
      <c r="W291" s="56">
        <v>787.11599999999999</v>
      </c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</row>
    <row r="292" spans="1:39" x14ac:dyDescent="0.4">
      <c r="A292" s="56"/>
      <c r="B292" s="59"/>
      <c r="C292" s="56"/>
      <c r="D292" s="56"/>
      <c r="E292" s="56"/>
      <c r="F292" s="57"/>
      <c r="G292" s="57"/>
      <c r="H292" s="57"/>
      <c r="I292" s="56"/>
      <c r="J292" s="56"/>
      <c r="K292" s="56" t="s">
        <v>499</v>
      </c>
      <c r="L292" s="56"/>
      <c r="M292" s="56"/>
      <c r="N292" s="56"/>
      <c r="O292" s="57">
        <v>2680016</v>
      </c>
      <c r="P292" s="56"/>
      <c r="Q292" s="56">
        <v>1788.9</v>
      </c>
      <c r="R292" s="57"/>
      <c r="S292" s="56">
        <v>891.11599999999999</v>
      </c>
      <c r="T292" s="56"/>
      <c r="U292" s="56">
        <v>1788.9</v>
      </c>
      <c r="V292" s="56"/>
      <c r="W292" s="56">
        <v>891.11599999999999</v>
      </c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</row>
    <row r="293" spans="1:39" x14ac:dyDescent="0.4">
      <c r="A293" s="56"/>
      <c r="B293" s="59"/>
      <c r="C293" s="56"/>
      <c r="D293" s="56"/>
      <c r="E293" s="56"/>
      <c r="F293" s="57"/>
      <c r="G293" s="57"/>
      <c r="H293" s="57"/>
      <c r="I293" s="56"/>
      <c r="J293" s="56"/>
      <c r="K293" s="56" t="s">
        <v>500</v>
      </c>
      <c r="L293" s="56"/>
      <c r="M293" s="56"/>
      <c r="N293" s="56"/>
      <c r="O293" s="57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</row>
    <row r="294" spans="1:39" x14ac:dyDescent="0.4">
      <c r="A294" s="56"/>
      <c r="B294" s="59"/>
      <c r="C294" s="56"/>
      <c r="D294" s="56"/>
      <c r="E294" s="56"/>
      <c r="F294" s="57"/>
      <c r="G294" s="57"/>
      <c r="H294" s="57"/>
      <c r="I294" s="56"/>
      <c r="J294" s="56"/>
      <c r="K294" s="56"/>
      <c r="L294" s="56" t="s">
        <v>501</v>
      </c>
      <c r="M294" s="56"/>
      <c r="N294" s="56"/>
      <c r="O294" s="57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</row>
    <row r="295" spans="1:39" x14ac:dyDescent="0.4">
      <c r="A295" s="56"/>
      <c r="B295" s="59"/>
      <c r="C295" s="56"/>
      <c r="D295" s="56"/>
      <c r="E295" s="56"/>
      <c r="F295" s="57"/>
      <c r="G295" s="57"/>
      <c r="H295" s="57"/>
      <c r="I295" s="56"/>
      <c r="J295" s="56"/>
      <c r="K295" s="56"/>
      <c r="L295" s="56" t="s">
        <v>502</v>
      </c>
      <c r="M295" s="56">
        <v>92.6</v>
      </c>
      <c r="N295" s="56">
        <v>1</v>
      </c>
      <c r="O295" s="57">
        <v>92600</v>
      </c>
      <c r="P295" s="56">
        <v>4.8</v>
      </c>
      <c r="Q295" s="56">
        <v>4.8</v>
      </c>
      <c r="R295" s="56">
        <v>87.8</v>
      </c>
      <c r="S295" s="56">
        <v>87.8</v>
      </c>
      <c r="T295" s="56">
        <v>4.8</v>
      </c>
      <c r="U295" s="56">
        <v>4.8</v>
      </c>
      <c r="V295" s="56">
        <v>87.8</v>
      </c>
      <c r="W295" s="56">
        <v>87.8</v>
      </c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</row>
    <row r="296" spans="1:39" x14ac:dyDescent="0.4">
      <c r="A296" s="56"/>
      <c r="B296" s="59"/>
      <c r="C296" s="56"/>
      <c r="D296" s="56"/>
      <c r="E296" s="56"/>
      <c r="F296" s="57"/>
      <c r="G296" s="57"/>
      <c r="H296" s="57"/>
      <c r="I296" s="56"/>
      <c r="J296" s="56" t="s">
        <v>243</v>
      </c>
      <c r="K296" s="56"/>
      <c r="L296" s="56" t="s">
        <v>936</v>
      </c>
      <c r="M296" s="56">
        <v>-92.6</v>
      </c>
      <c r="N296" s="56">
        <v>1</v>
      </c>
      <c r="O296" s="57">
        <v>-92600</v>
      </c>
      <c r="P296" s="56">
        <v>-4.8</v>
      </c>
      <c r="Q296" s="56">
        <v>-4.8</v>
      </c>
      <c r="R296" s="56">
        <v>-87.8</v>
      </c>
      <c r="S296" s="56">
        <v>-87.8</v>
      </c>
      <c r="T296" s="56">
        <v>-4.8</v>
      </c>
      <c r="U296" s="57">
        <v>-4.8</v>
      </c>
      <c r="V296" s="56">
        <v>-87.8</v>
      </c>
      <c r="W296" s="56">
        <v>-87.8</v>
      </c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</row>
    <row r="297" spans="1:39" x14ac:dyDescent="0.4">
      <c r="A297" s="56"/>
      <c r="B297" s="59"/>
      <c r="C297" s="56"/>
      <c r="D297" s="56"/>
      <c r="E297" s="56"/>
      <c r="F297" s="57"/>
      <c r="G297" s="57"/>
      <c r="H297" s="57"/>
      <c r="I297" s="56"/>
      <c r="J297" s="56"/>
      <c r="K297" s="56"/>
      <c r="L297" s="56" t="s">
        <v>503</v>
      </c>
      <c r="M297" s="56"/>
      <c r="N297" s="56"/>
      <c r="O297" s="57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</row>
    <row r="298" spans="1:39" x14ac:dyDescent="0.4">
      <c r="A298" s="56"/>
      <c r="B298" s="59"/>
      <c r="C298" s="56"/>
      <c r="D298" s="56"/>
      <c r="E298" s="56"/>
      <c r="F298" s="57"/>
      <c r="G298" s="57"/>
      <c r="H298" s="57"/>
      <c r="I298" s="56"/>
      <c r="J298" s="57"/>
      <c r="K298" s="56"/>
      <c r="L298" s="56" t="s">
        <v>937</v>
      </c>
      <c r="M298" s="56">
        <v>540.20000000000005</v>
      </c>
      <c r="N298" s="56">
        <v>1</v>
      </c>
      <c r="O298" s="57">
        <v>540200</v>
      </c>
      <c r="P298" s="56">
        <v>537.4</v>
      </c>
      <c r="Q298" s="56">
        <v>537.4</v>
      </c>
      <c r="R298" s="56">
        <v>2.8</v>
      </c>
      <c r="S298" s="56">
        <v>2.8</v>
      </c>
      <c r="T298" s="56">
        <v>537.4</v>
      </c>
      <c r="U298" s="57">
        <v>537.4</v>
      </c>
      <c r="V298" s="56">
        <v>2.8</v>
      </c>
      <c r="W298" s="56">
        <v>2.8</v>
      </c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</row>
    <row r="299" spans="1:39" x14ac:dyDescent="0.4">
      <c r="A299" s="56"/>
      <c r="B299" s="59"/>
      <c r="C299" s="56"/>
      <c r="D299" s="56"/>
      <c r="E299" s="56"/>
      <c r="F299" s="57"/>
      <c r="G299" s="57"/>
      <c r="H299" s="57"/>
      <c r="I299" s="56"/>
      <c r="J299" s="56"/>
      <c r="K299" s="56"/>
      <c r="L299" s="56" t="s">
        <v>938</v>
      </c>
      <c r="M299" s="56">
        <v>28</v>
      </c>
      <c r="N299" s="56">
        <v>1</v>
      </c>
      <c r="O299" s="57">
        <v>28000</v>
      </c>
      <c r="P299" s="56">
        <v>28</v>
      </c>
      <c r="Q299" s="56">
        <v>28</v>
      </c>
      <c r="R299" s="56">
        <v>0</v>
      </c>
      <c r="S299" s="56">
        <v>0</v>
      </c>
      <c r="T299" s="56">
        <v>28</v>
      </c>
      <c r="U299" s="57">
        <v>28</v>
      </c>
      <c r="V299" s="56">
        <v>0</v>
      </c>
      <c r="W299" s="56">
        <v>0</v>
      </c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</row>
    <row r="300" spans="1:39" x14ac:dyDescent="0.4">
      <c r="A300" s="56"/>
      <c r="B300" s="59"/>
      <c r="C300" s="56"/>
      <c r="D300" s="56"/>
      <c r="E300" s="56"/>
      <c r="F300" s="57"/>
      <c r="G300" s="57"/>
      <c r="H300" s="57"/>
      <c r="I300" s="56"/>
      <c r="J300" s="56"/>
      <c r="K300" s="56"/>
      <c r="L300" s="56" t="s">
        <v>939</v>
      </c>
      <c r="M300" s="56">
        <v>17</v>
      </c>
      <c r="N300" s="56">
        <v>1</v>
      </c>
      <c r="O300" s="57">
        <v>17000</v>
      </c>
      <c r="P300" s="56">
        <v>17</v>
      </c>
      <c r="Q300" s="56">
        <v>17</v>
      </c>
      <c r="R300" s="56">
        <v>0</v>
      </c>
      <c r="S300" s="56">
        <v>0</v>
      </c>
      <c r="T300" s="56">
        <v>17</v>
      </c>
      <c r="U300" s="57">
        <v>17</v>
      </c>
      <c r="V300" s="56">
        <v>0</v>
      </c>
      <c r="W300" s="56">
        <v>0</v>
      </c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</row>
    <row r="301" spans="1:39" x14ac:dyDescent="0.4">
      <c r="A301" s="56"/>
      <c r="B301" s="59"/>
      <c r="C301" s="56"/>
      <c r="D301" s="56"/>
      <c r="E301" s="56"/>
      <c r="F301" s="57"/>
      <c r="G301" s="57"/>
      <c r="H301" s="57"/>
      <c r="I301" s="56"/>
      <c r="J301" s="56"/>
      <c r="K301" s="56"/>
      <c r="L301" s="56" t="s">
        <v>765</v>
      </c>
      <c r="M301" s="56">
        <v>4</v>
      </c>
      <c r="N301" s="56">
        <v>2</v>
      </c>
      <c r="O301" s="57">
        <v>8000</v>
      </c>
      <c r="P301" s="56">
        <v>4</v>
      </c>
      <c r="Q301" s="56">
        <v>8</v>
      </c>
      <c r="R301" s="56">
        <v>0</v>
      </c>
      <c r="S301" s="56">
        <v>0</v>
      </c>
      <c r="T301" s="56">
        <v>4</v>
      </c>
      <c r="U301" s="57">
        <v>8</v>
      </c>
      <c r="V301" s="56">
        <v>0</v>
      </c>
      <c r="W301" s="56">
        <v>0</v>
      </c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</row>
    <row r="302" spans="1:39" x14ac:dyDescent="0.4">
      <c r="A302" s="56"/>
      <c r="B302" s="59"/>
      <c r="C302" s="56"/>
      <c r="D302" s="56"/>
      <c r="E302" s="56"/>
      <c r="F302" s="57"/>
      <c r="G302" s="57"/>
      <c r="H302" s="57"/>
      <c r="I302" s="56"/>
      <c r="J302" s="56"/>
      <c r="K302" s="56"/>
      <c r="L302" s="56" t="s">
        <v>504</v>
      </c>
      <c r="M302" s="56">
        <v>12</v>
      </c>
      <c r="N302" s="56">
        <v>1</v>
      </c>
      <c r="O302" s="57">
        <v>12000</v>
      </c>
      <c r="P302" s="56">
        <v>12</v>
      </c>
      <c r="Q302" s="56">
        <v>12</v>
      </c>
      <c r="R302" s="56">
        <v>0</v>
      </c>
      <c r="S302" s="56">
        <v>0</v>
      </c>
      <c r="T302" s="56">
        <v>12</v>
      </c>
      <c r="U302" s="56">
        <v>12</v>
      </c>
      <c r="V302" s="56">
        <v>0</v>
      </c>
      <c r="W302" s="56">
        <v>0</v>
      </c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</row>
    <row r="303" spans="1:39" x14ac:dyDescent="0.4">
      <c r="A303" s="56"/>
      <c r="B303" s="59"/>
      <c r="C303" s="56"/>
      <c r="D303" s="56"/>
      <c r="E303" s="56"/>
      <c r="F303" s="57"/>
      <c r="G303" s="57"/>
      <c r="H303" s="57"/>
      <c r="I303" s="56"/>
      <c r="J303" s="56"/>
      <c r="K303" s="56"/>
      <c r="L303" s="56" t="s">
        <v>505</v>
      </c>
      <c r="M303" s="56"/>
      <c r="N303" s="56"/>
      <c r="O303" s="57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</row>
    <row r="304" spans="1:39" x14ac:dyDescent="0.4">
      <c r="A304" s="56"/>
      <c r="B304" s="59"/>
      <c r="C304" s="56"/>
      <c r="D304" s="56"/>
      <c r="E304" s="56"/>
      <c r="F304" s="57"/>
      <c r="G304" s="57"/>
      <c r="H304" s="57"/>
      <c r="I304" s="56"/>
      <c r="J304" s="56"/>
      <c r="K304" s="56"/>
      <c r="L304" s="56" t="s">
        <v>506</v>
      </c>
      <c r="M304" s="56">
        <v>41.8</v>
      </c>
      <c r="N304" s="56">
        <v>1</v>
      </c>
      <c r="O304" s="57">
        <v>41800</v>
      </c>
      <c r="P304" s="56">
        <v>7.5</v>
      </c>
      <c r="Q304" s="56">
        <v>7.5</v>
      </c>
      <c r="R304" s="56">
        <v>34.299999999999997</v>
      </c>
      <c r="S304" s="56">
        <v>34.299999999999997</v>
      </c>
      <c r="T304" s="56">
        <v>7.5</v>
      </c>
      <c r="U304" s="57">
        <v>7.5</v>
      </c>
      <c r="V304" s="56">
        <v>34.299999999999997</v>
      </c>
      <c r="W304" s="56">
        <v>34.299999999999997</v>
      </c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</row>
    <row r="305" spans="1:39" x14ac:dyDescent="0.4">
      <c r="A305" s="56"/>
      <c r="B305" s="59"/>
      <c r="C305" s="56"/>
      <c r="D305" s="56"/>
      <c r="E305" s="56"/>
      <c r="F305" s="57"/>
      <c r="G305" s="57"/>
      <c r="H305" s="57"/>
      <c r="I305" s="56"/>
      <c r="J305" s="56"/>
      <c r="K305" s="56"/>
      <c r="L305" s="56" t="s">
        <v>837</v>
      </c>
      <c r="M305" s="56">
        <v>5.8</v>
      </c>
      <c r="N305" s="56">
        <v>1</v>
      </c>
      <c r="O305" s="57">
        <v>5800</v>
      </c>
      <c r="P305" s="56">
        <v>0</v>
      </c>
      <c r="Q305" s="56">
        <v>0</v>
      </c>
      <c r="R305" s="56">
        <v>5.8</v>
      </c>
      <c r="S305" s="56">
        <v>5.8</v>
      </c>
      <c r="T305" s="56">
        <v>0</v>
      </c>
      <c r="U305" s="56">
        <v>0</v>
      </c>
      <c r="V305" s="56">
        <v>5.8</v>
      </c>
      <c r="W305" s="56">
        <v>5.8</v>
      </c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</row>
    <row r="306" spans="1:39" x14ac:dyDescent="0.4">
      <c r="A306" s="56"/>
      <c r="B306" s="59"/>
      <c r="C306" s="56"/>
      <c r="D306" s="56"/>
      <c r="E306" s="56"/>
      <c r="F306" s="57"/>
      <c r="G306" s="57"/>
      <c r="H306" s="57"/>
      <c r="I306" s="56"/>
      <c r="J306" s="56"/>
      <c r="K306" s="56"/>
      <c r="L306" s="56" t="s">
        <v>507</v>
      </c>
      <c r="M306" s="56"/>
      <c r="N306" s="56"/>
      <c r="O306" s="57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</row>
    <row r="307" spans="1:39" x14ac:dyDescent="0.4">
      <c r="A307" s="56"/>
      <c r="B307" s="59"/>
      <c r="C307" s="56"/>
      <c r="D307" s="56"/>
      <c r="E307" s="56"/>
      <c r="F307" s="57"/>
      <c r="G307" s="57"/>
      <c r="H307" s="57"/>
      <c r="I307" s="56"/>
      <c r="J307" s="56"/>
      <c r="K307" s="56"/>
      <c r="L307" s="56" t="s">
        <v>508</v>
      </c>
      <c r="M307" s="56">
        <v>2.2000000000000002</v>
      </c>
      <c r="N307" s="56">
        <v>1</v>
      </c>
      <c r="O307" s="57">
        <v>2200</v>
      </c>
      <c r="P307" s="56">
        <v>0</v>
      </c>
      <c r="Q307" s="56">
        <v>0</v>
      </c>
      <c r="R307" s="56">
        <v>2.2000000000000002</v>
      </c>
      <c r="S307" s="56">
        <v>2.2000000000000002</v>
      </c>
      <c r="T307" s="56">
        <v>0</v>
      </c>
      <c r="U307" s="56">
        <v>0</v>
      </c>
      <c r="V307" s="56">
        <v>2.2000000000000002</v>
      </c>
      <c r="W307" s="56">
        <v>2.2000000000000002</v>
      </c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</row>
    <row r="308" spans="1:39" x14ac:dyDescent="0.4">
      <c r="A308" s="56"/>
      <c r="B308" s="59"/>
      <c r="C308" s="56"/>
      <c r="D308" s="56"/>
      <c r="E308" s="56"/>
      <c r="F308" s="57"/>
      <c r="G308" s="57"/>
      <c r="H308" s="57"/>
      <c r="I308" s="56"/>
      <c r="J308" s="56"/>
      <c r="K308" s="56"/>
      <c r="L308" s="56" t="s">
        <v>766</v>
      </c>
      <c r="M308" s="56"/>
      <c r="N308" s="56"/>
      <c r="O308" s="57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</row>
    <row r="309" spans="1:39" x14ac:dyDescent="0.4">
      <c r="A309" s="56"/>
      <c r="B309" s="59"/>
      <c r="C309" s="56"/>
      <c r="D309" s="56"/>
      <c r="E309" s="56"/>
      <c r="F309" s="57"/>
      <c r="G309" s="57"/>
      <c r="H309" s="57"/>
      <c r="I309" s="56"/>
      <c r="J309" s="56"/>
      <c r="K309" s="56"/>
      <c r="L309" s="56" t="s">
        <v>940</v>
      </c>
      <c r="M309" s="56">
        <v>140.19999999999999</v>
      </c>
      <c r="N309" s="56">
        <v>1</v>
      </c>
      <c r="O309" s="57">
        <v>140200</v>
      </c>
      <c r="P309" s="56">
        <v>142</v>
      </c>
      <c r="Q309" s="56">
        <v>142</v>
      </c>
      <c r="R309" s="56">
        <v>-1.8</v>
      </c>
      <c r="S309" s="56">
        <v>-1.8</v>
      </c>
      <c r="T309" s="56">
        <v>142</v>
      </c>
      <c r="U309" s="57">
        <v>142</v>
      </c>
      <c r="V309" s="56">
        <v>-1.8</v>
      </c>
      <c r="W309" s="56">
        <v>-1.8</v>
      </c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</row>
    <row r="310" spans="1:39" x14ac:dyDescent="0.4">
      <c r="A310" s="56"/>
      <c r="B310" s="59"/>
      <c r="C310" s="56"/>
      <c r="D310" s="56"/>
      <c r="E310" s="56"/>
      <c r="F310" s="57"/>
      <c r="G310" s="57"/>
      <c r="H310" s="57"/>
      <c r="I310" s="56"/>
      <c r="J310" s="56"/>
      <c r="K310" s="56"/>
      <c r="L310" s="56" t="s">
        <v>767</v>
      </c>
      <c r="M310" s="56">
        <v>1</v>
      </c>
      <c r="N310" s="56">
        <v>1</v>
      </c>
      <c r="O310" s="57">
        <v>1000</v>
      </c>
      <c r="P310" s="56">
        <v>1</v>
      </c>
      <c r="Q310" s="56">
        <v>1</v>
      </c>
      <c r="R310" s="56">
        <v>0</v>
      </c>
      <c r="S310" s="56">
        <v>0</v>
      </c>
      <c r="T310" s="56">
        <v>1</v>
      </c>
      <c r="U310" s="57">
        <v>1</v>
      </c>
      <c r="V310" s="56">
        <v>0</v>
      </c>
      <c r="W310" s="56">
        <v>0</v>
      </c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</row>
    <row r="311" spans="1:39" x14ac:dyDescent="0.4">
      <c r="A311" s="56"/>
      <c r="B311" s="59"/>
      <c r="C311" s="56"/>
      <c r="D311" s="56"/>
      <c r="E311" s="56"/>
      <c r="F311" s="57"/>
      <c r="G311" s="57"/>
      <c r="H311" s="57"/>
      <c r="I311" s="56"/>
      <c r="J311" s="56"/>
      <c r="K311" s="56"/>
      <c r="L311" s="56" t="s">
        <v>941</v>
      </c>
      <c r="M311" s="56">
        <v>3.5</v>
      </c>
      <c r="N311" s="56">
        <v>1</v>
      </c>
      <c r="O311" s="57">
        <v>3500</v>
      </c>
      <c r="P311" s="56">
        <v>3.5</v>
      </c>
      <c r="Q311" s="56">
        <v>3.5</v>
      </c>
      <c r="R311" s="56">
        <v>0</v>
      </c>
      <c r="S311" s="56">
        <v>0</v>
      </c>
      <c r="T311" s="56">
        <v>3.5</v>
      </c>
      <c r="U311" s="57">
        <v>3.5</v>
      </c>
      <c r="V311" s="56">
        <v>0</v>
      </c>
      <c r="W311" s="56">
        <v>0</v>
      </c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</row>
    <row r="312" spans="1:39" x14ac:dyDescent="0.4">
      <c r="A312" s="56"/>
      <c r="B312" s="59"/>
      <c r="C312" s="56"/>
      <c r="D312" s="56"/>
      <c r="E312" s="56"/>
      <c r="F312" s="57"/>
      <c r="G312" s="57"/>
      <c r="H312" s="57"/>
      <c r="I312" s="56"/>
      <c r="J312" s="56"/>
      <c r="K312" s="56"/>
      <c r="L312" s="56" t="s">
        <v>838</v>
      </c>
      <c r="M312" s="56"/>
      <c r="N312" s="56"/>
      <c r="O312" s="57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</row>
    <row r="313" spans="1:39" x14ac:dyDescent="0.4">
      <c r="A313" s="56"/>
      <c r="B313" s="59"/>
      <c r="C313" s="56"/>
      <c r="D313" s="56"/>
      <c r="E313" s="56"/>
      <c r="F313" s="57"/>
      <c r="G313" s="57"/>
      <c r="H313" s="57"/>
      <c r="I313" s="56"/>
      <c r="J313" s="56"/>
      <c r="K313" s="56"/>
      <c r="L313" s="56" t="s">
        <v>768</v>
      </c>
      <c r="M313" s="56">
        <v>42.9</v>
      </c>
      <c r="N313" s="56">
        <v>1</v>
      </c>
      <c r="O313" s="57">
        <v>42900</v>
      </c>
      <c r="P313" s="56">
        <v>10.3</v>
      </c>
      <c r="Q313" s="56">
        <v>10.3</v>
      </c>
      <c r="R313" s="56">
        <v>32.6</v>
      </c>
      <c r="S313" s="56">
        <v>32.6</v>
      </c>
      <c r="T313" s="56">
        <v>10.3</v>
      </c>
      <c r="U313" s="57">
        <v>10.3</v>
      </c>
      <c r="V313" s="56">
        <v>32.6</v>
      </c>
      <c r="W313" s="56">
        <v>32.6</v>
      </c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</row>
    <row r="314" spans="1:39" x14ac:dyDescent="0.4">
      <c r="A314" s="56"/>
      <c r="B314" s="59"/>
      <c r="C314" s="56"/>
      <c r="D314" s="56"/>
      <c r="E314" s="56"/>
      <c r="F314" s="57"/>
      <c r="G314" s="57"/>
      <c r="H314" s="57"/>
      <c r="I314" s="56"/>
      <c r="J314" s="56"/>
      <c r="K314" s="56"/>
      <c r="L314" s="56" t="s">
        <v>839</v>
      </c>
      <c r="M314" s="56">
        <v>5.3</v>
      </c>
      <c r="N314" s="56">
        <v>1</v>
      </c>
      <c r="O314" s="57">
        <v>5300</v>
      </c>
      <c r="P314" s="56">
        <v>0</v>
      </c>
      <c r="Q314" s="56">
        <v>0</v>
      </c>
      <c r="R314" s="56">
        <v>5.3</v>
      </c>
      <c r="S314" s="56">
        <v>5.3</v>
      </c>
      <c r="T314" s="56">
        <v>0</v>
      </c>
      <c r="U314" s="57">
        <v>0</v>
      </c>
      <c r="V314" s="56">
        <v>5.3</v>
      </c>
      <c r="W314" s="56">
        <v>5.3</v>
      </c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</row>
    <row r="315" spans="1:39" x14ac:dyDescent="0.4">
      <c r="A315" s="56"/>
      <c r="B315" s="59"/>
      <c r="C315" s="56"/>
      <c r="D315" s="56"/>
      <c r="E315" s="56"/>
      <c r="F315" s="57"/>
      <c r="G315" s="57"/>
      <c r="H315" s="57"/>
      <c r="I315" s="56"/>
      <c r="J315" s="56"/>
      <c r="K315" s="56"/>
      <c r="L315" s="56" t="s">
        <v>840</v>
      </c>
      <c r="M315" s="56"/>
      <c r="N315" s="56"/>
      <c r="O315" s="57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</row>
    <row r="316" spans="1:39" x14ac:dyDescent="0.4">
      <c r="A316" s="56"/>
      <c r="B316" s="59"/>
      <c r="C316" s="56"/>
      <c r="D316" s="56"/>
      <c r="E316" s="56"/>
      <c r="F316" s="57"/>
      <c r="G316" s="57"/>
      <c r="H316" s="57"/>
      <c r="I316" s="56"/>
      <c r="J316" s="56"/>
      <c r="K316" s="56"/>
      <c r="L316" s="56" t="s">
        <v>509</v>
      </c>
      <c r="M316" s="56"/>
      <c r="N316" s="56"/>
      <c r="O316" s="57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</row>
    <row r="317" spans="1:39" x14ac:dyDescent="0.4">
      <c r="A317" s="56"/>
      <c r="B317" s="59"/>
      <c r="C317" s="56"/>
      <c r="D317" s="56"/>
      <c r="E317" s="56"/>
      <c r="F317" s="57"/>
      <c r="G317" s="57"/>
      <c r="H317" s="57"/>
      <c r="I317" s="56"/>
      <c r="J317" s="56"/>
      <c r="K317" s="56"/>
      <c r="L317" s="56" t="s">
        <v>510</v>
      </c>
      <c r="M317" s="56">
        <v>11.5</v>
      </c>
      <c r="N317" s="56">
        <v>1</v>
      </c>
      <c r="O317" s="57">
        <v>11500</v>
      </c>
      <c r="P317" s="56">
        <v>11.5</v>
      </c>
      <c r="Q317" s="56">
        <v>11.5</v>
      </c>
      <c r="R317" s="56">
        <v>0</v>
      </c>
      <c r="S317" s="56">
        <v>0</v>
      </c>
      <c r="T317" s="56">
        <v>11.5</v>
      </c>
      <c r="U317" s="56">
        <v>11.5</v>
      </c>
      <c r="V317" s="56">
        <v>0</v>
      </c>
      <c r="W317" s="57">
        <v>0</v>
      </c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</row>
    <row r="318" spans="1:39" x14ac:dyDescent="0.4">
      <c r="A318" s="56"/>
      <c r="B318" s="59"/>
      <c r="C318" s="56"/>
      <c r="D318" s="56"/>
      <c r="E318" s="56"/>
      <c r="F318" s="57"/>
      <c r="G318" s="57"/>
      <c r="H318" s="57"/>
      <c r="I318" s="56"/>
      <c r="J318" s="56"/>
      <c r="K318" s="56"/>
      <c r="L318" s="56" t="s">
        <v>511</v>
      </c>
      <c r="M318" s="56"/>
      <c r="N318" s="56"/>
      <c r="O318" s="57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</row>
    <row r="319" spans="1:39" x14ac:dyDescent="0.4">
      <c r="A319" s="56"/>
      <c r="B319" s="59"/>
      <c r="C319" s="56"/>
      <c r="D319" s="56"/>
      <c r="E319" s="56"/>
      <c r="F319" s="57"/>
      <c r="G319" s="57"/>
      <c r="H319" s="57"/>
      <c r="I319" s="56"/>
      <c r="J319" s="56"/>
      <c r="K319" s="56"/>
      <c r="L319" s="56" t="s">
        <v>942</v>
      </c>
      <c r="M319" s="56">
        <v>18.5</v>
      </c>
      <c r="N319" s="56">
        <v>1</v>
      </c>
      <c r="O319" s="57">
        <v>18500</v>
      </c>
      <c r="P319" s="56">
        <v>0</v>
      </c>
      <c r="Q319" s="56">
        <v>0</v>
      </c>
      <c r="R319" s="56">
        <v>18.5</v>
      </c>
      <c r="S319" s="56">
        <v>18.5</v>
      </c>
      <c r="T319" s="56">
        <v>0</v>
      </c>
      <c r="U319" s="56">
        <v>0</v>
      </c>
      <c r="V319" s="56">
        <v>18.5</v>
      </c>
      <c r="W319" s="57">
        <v>18.5</v>
      </c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</row>
    <row r="320" spans="1:39" x14ac:dyDescent="0.4">
      <c r="A320" s="56"/>
      <c r="B320" s="59"/>
      <c r="C320" s="56"/>
      <c r="D320" s="56"/>
      <c r="E320" s="56"/>
      <c r="F320" s="57"/>
      <c r="G320" s="57"/>
      <c r="H320" s="57"/>
      <c r="I320" s="56"/>
      <c r="J320" s="56"/>
      <c r="K320" s="56"/>
      <c r="L320" s="56" t="s">
        <v>943</v>
      </c>
      <c r="M320" s="56"/>
      <c r="N320" s="56"/>
      <c r="O320" s="57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</row>
    <row r="321" spans="1:39" x14ac:dyDescent="0.4">
      <c r="A321" s="56"/>
      <c r="B321" s="59"/>
      <c r="C321" s="56"/>
      <c r="D321" s="56"/>
      <c r="E321" s="56"/>
      <c r="F321" s="57"/>
      <c r="G321" s="57"/>
      <c r="H321" s="57"/>
      <c r="I321" s="56"/>
      <c r="J321" s="56"/>
      <c r="K321" s="56"/>
      <c r="L321" s="56" t="s">
        <v>512</v>
      </c>
      <c r="M321" s="56"/>
      <c r="N321" s="56"/>
      <c r="O321" s="57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</row>
    <row r="322" spans="1:39" x14ac:dyDescent="0.4">
      <c r="A322" s="56"/>
      <c r="B322" s="59"/>
      <c r="C322" s="56"/>
      <c r="D322" s="56"/>
      <c r="E322" s="56"/>
      <c r="F322" s="57"/>
      <c r="G322" s="57"/>
      <c r="H322" s="57"/>
      <c r="I322" s="56"/>
      <c r="J322" s="56"/>
      <c r="K322" s="56"/>
      <c r="L322" s="56" t="s">
        <v>513</v>
      </c>
      <c r="M322" s="56">
        <v>9</v>
      </c>
      <c r="N322" s="56">
        <v>2</v>
      </c>
      <c r="O322" s="57">
        <v>18000</v>
      </c>
      <c r="P322" s="56">
        <v>9</v>
      </c>
      <c r="Q322" s="56">
        <v>18</v>
      </c>
      <c r="R322" s="56">
        <v>0</v>
      </c>
      <c r="S322" s="56">
        <v>0</v>
      </c>
      <c r="T322" s="56">
        <v>9</v>
      </c>
      <c r="U322" s="56">
        <v>18</v>
      </c>
      <c r="V322" s="56">
        <v>0</v>
      </c>
      <c r="W322" s="57">
        <v>0</v>
      </c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</row>
    <row r="323" spans="1:39" x14ac:dyDescent="0.4">
      <c r="A323" s="56"/>
      <c r="B323" s="59"/>
      <c r="C323" s="56"/>
      <c r="D323" s="56"/>
      <c r="E323" s="56"/>
      <c r="F323" s="57"/>
      <c r="G323" s="57"/>
      <c r="H323" s="57"/>
      <c r="I323" s="56"/>
      <c r="J323" s="56"/>
      <c r="K323" s="56"/>
      <c r="L323" s="56" t="s">
        <v>514</v>
      </c>
      <c r="M323" s="56"/>
      <c r="N323" s="56"/>
      <c r="O323" s="57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</row>
    <row r="324" spans="1:39" x14ac:dyDescent="0.4">
      <c r="A324" s="56"/>
      <c r="B324" s="59"/>
      <c r="C324" s="56"/>
      <c r="D324" s="56"/>
      <c r="E324" s="56"/>
      <c r="F324" s="57"/>
      <c r="G324" s="57"/>
      <c r="H324" s="57"/>
      <c r="I324" s="56"/>
      <c r="J324" s="56"/>
      <c r="K324" s="56"/>
      <c r="L324" s="56" t="s">
        <v>944</v>
      </c>
      <c r="M324" s="56">
        <v>110.3</v>
      </c>
      <c r="N324" s="56">
        <v>1</v>
      </c>
      <c r="O324" s="57">
        <v>110300</v>
      </c>
      <c r="P324" s="56">
        <v>87.7</v>
      </c>
      <c r="Q324" s="56">
        <v>87.7</v>
      </c>
      <c r="R324" s="56">
        <v>22.6</v>
      </c>
      <c r="S324" s="56">
        <v>22.6</v>
      </c>
      <c r="T324" s="56">
        <v>87.7</v>
      </c>
      <c r="U324" s="56">
        <v>87.7</v>
      </c>
      <c r="V324" s="56">
        <v>22.6</v>
      </c>
      <c r="W324" s="56">
        <v>22.6</v>
      </c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</row>
    <row r="325" spans="1:39" x14ac:dyDescent="0.4">
      <c r="A325" s="56"/>
      <c r="B325" s="59"/>
      <c r="C325" s="56"/>
      <c r="D325" s="56"/>
      <c r="E325" s="56"/>
      <c r="F325" s="57"/>
      <c r="G325" s="57"/>
      <c r="H325" s="57"/>
      <c r="I325" s="56"/>
      <c r="J325" s="56"/>
      <c r="K325" s="56"/>
      <c r="L325" s="56" t="s">
        <v>945</v>
      </c>
      <c r="M325" s="56">
        <v>126</v>
      </c>
      <c r="N325" s="56">
        <v>1</v>
      </c>
      <c r="O325" s="57">
        <v>126000</v>
      </c>
      <c r="P325" s="56">
        <v>87.7</v>
      </c>
      <c r="Q325" s="56">
        <v>87.7</v>
      </c>
      <c r="R325" s="56">
        <v>38.299999999999997</v>
      </c>
      <c r="S325" s="56">
        <v>38.299999999999997</v>
      </c>
      <c r="T325" s="56">
        <v>87.7</v>
      </c>
      <c r="U325" s="56">
        <v>87.7</v>
      </c>
      <c r="V325" s="56">
        <v>38.299999999999997</v>
      </c>
      <c r="W325" s="57">
        <v>38.299999999999997</v>
      </c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</row>
    <row r="326" spans="1:39" x14ac:dyDescent="0.4">
      <c r="A326" s="56"/>
      <c r="B326" s="59"/>
      <c r="C326" s="56"/>
      <c r="D326" s="56"/>
      <c r="E326" s="56"/>
      <c r="F326" s="57"/>
      <c r="G326" s="57"/>
      <c r="H326" s="57"/>
      <c r="I326" s="56"/>
      <c r="J326" s="56"/>
      <c r="K326" s="56"/>
      <c r="L326" s="56" t="s">
        <v>515</v>
      </c>
      <c r="M326" s="56"/>
      <c r="N326" s="56"/>
      <c r="O326" s="57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</row>
    <row r="327" spans="1:39" x14ac:dyDescent="0.4">
      <c r="A327" s="56"/>
      <c r="B327" s="59"/>
      <c r="C327" s="56"/>
      <c r="D327" s="56"/>
      <c r="E327" s="56"/>
      <c r="F327" s="57"/>
      <c r="G327" s="57"/>
      <c r="H327" s="57"/>
      <c r="I327" s="56"/>
      <c r="J327" s="56"/>
      <c r="K327" s="56"/>
      <c r="L327" s="56" t="s">
        <v>946</v>
      </c>
      <c r="M327" s="56">
        <v>1</v>
      </c>
      <c r="N327" s="56">
        <v>2</v>
      </c>
      <c r="O327" s="57">
        <v>2000</v>
      </c>
      <c r="P327" s="56">
        <v>1</v>
      </c>
      <c r="Q327" s="56">
        <v>2</v>
      </c>
      <c r="R327" s="56">
        <v>0</v>
      </c>
      <c r="S327" s="56">
        <v>0</v>
      </c>
      <c r="T327" s="56">
        <v>1</v>
      </c>
      <c r="U327" s="56">
        <v>2</v>
      </c>
      <c r="V327" s="56">
        <v>0</v>
      </c>
      <c r="W327" s="57">
        <v>0</v>
      </c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</row>
    <row r="328" spans="1:39" x14ac:dyDescent="0.4">
      <c r="A328" s="56"/>
      <c r="B328" s="59"/>
      <c r="C328" s="56"/>
      <c r="D328" s="56"/>
      <c r="E328" s="56"/>
      <c r="F328" s="57"/>
      <c r="G328" s="57"/>
      <c r="H328" s="57"/>
      <c r="I328" s="56"/>
      <c r="J328" s="56"/>
      <c r="K328" s="56"/>
      <c r="L328" s="56" t="s">
        <v>947</v>
      </c>
      <c r="M328" s="56">
        <v>6</v>
      </c>
      <c r="N328" s="56">
        <v>2</v>
      </c>
      <c r="O328" s="57">
        <v>12000</v>
      </c>
      <c r="P328" s="56">
        <v>6</v>
      </c>
      <c r="Q328" s="56">
        <v>12</v>
      </c>
      <c r="R328" s="56">
        <v>0</v>
      </c>
      <c r="S328" s="56">
        <v>0</v>
      </c>
      <c r="T328" s="56">
        <v>6</v>
      </c>
      <c r="U328" s="56">
        <v>12</v>
      </c>
      <c r="V328" s="56">
        <v>0</v>
      </c>
      <c r="W328" s="57">
        <v>0</v>
      </c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</row>
    <row r="329" spans="1:39" x14ac:dyDescent="0.4">
      <c r="A329" s="56"/>
      <c r="B329" s="59"/>
      <c r="C329" s="56"/>
      <c r="D329" s="56"/>
      <c r="E329" s="56"/>
      <c r="F329" s="57"/>
      <c r="G329" s="57"/>
      <c r="H329" s="57"/>
      <c r="I329" s="56"/>
      <c r="J329" s="56"/>
      <c r="K329" s="56"/>
      <c r="L329" s="56" t="s">
        <v>516</v>
      </c>
      <c r="M329" s="56">
        <v>6.8</v>
      </c>
      <c r="N329" s="56">
        <v>1</v>
      </c>
      <c r="O329" s="57">
        <v>6800</v>
      </c>
      <c r="P329" s="56">
        <v>6</v>
      </c>
      <c r="Q329" s="56">
        <v>6</v>
      </c>
      <c r="R329" s="56">
        <v>0.8</v>
      </c>
      <c r="S329" s="56">
        <v>0.8</v>
      </c>
      <c r="T329" s="56">
        <v>6</v>
      </c>
      <c r="U329" s="56">
        <v>6</v>
      </c>
      <c r="V329" s="56">
        <v>0.8</v>
      </c>
      <c r="W329" s="56">
        <v>0.8</v>
      </c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</row>
    <row r="330" spans="1:39" x14ac:dyDescent="0.4">
      <c r="A330" s="56"/>
      <c r="B330" s="59"/>
      <c r="C330" s="56"/>
      <c r="D330" s="56"/>
      <c r="E330" s="56"/>
      <c r="F330" s="57"/>
      <c r="G330" s="57"/>
      <c r="H330" s="57"/>
      <c r="I330" s="56"/>
      <c r="J330" s="56"/>
      <c r="K330" s="56"/>
      <c r="L330" s="56" t="s">
        <v>948</v>
      </c>
      <c r="M330" s="56">
        <v>3.7</v>
      </c>
      <c r="N330" s="56">
        <v>1</v>
      </c>
      <c r="O330" s="57">
        <v>3700</v>
      </c>
      <c r="P330" s="56">
        <v>3</v>
      </c>
      <c r="Q330" s="56">
        <v>3</v>
      </c>
      <c r="R330" s="56">
        <v>0.7</v>
      </c>
      <c r="S330" s="56">
        <v>0.7</v>
      </c>
      <c r="T330" s="56">
        <v>3</v>
      </c>
      <c r="U330" s="56">
        <v>3</v>
      </c>
      <c r="V330" s="56">
        <v>0.7</v>
      </c>
      <c r="W330" s="57">
        <v>0.7</v>
      </c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</row>
    <row r="331" spans="1:39" x14ac:dyDescent="0.4">
      <c r="A331" s="56"/>
      <c r="B331" s="59"/>
      <c r="C331" s="56"/>
      <c r="D331" s="56"/>
      <c r="E331" s="56"/>
      <c r="F331" s="57"/>
      <c r="G331" s="57"/>
      <c r="H331" s="57"/>
      <c r="I331" s="56"/>
      <c r="J331" s="56"/>
      <c r="K331" s="56"/>
      <c r="L331" s="56" t="s">
        <v>769</v>
      </c>
      <c r="M331" s="56">
        <v>5.3</v>
      </c>
      <c r="N331" s="56">
        <v>2</v>
      </c>
      <c r="O331" s="57">
        <v>10600</v>
      </c>
      <c r="P331" s="56">
        <v>4</v>
      </c>
      <c r="Q331" s="56">
        <v>8</v>
      </c>
      <c r="R331" s="56">
        <v>1.3</v>
      </c>
      <c r="S331" s="56">
        <v>2.6</v>
      </c>
      <c r="T331" s="56">
        <v>4</v>
      </c>
      <c r="U331" s="56">
        <v>8</v>
      </c>
      <c r="V331" s="56">
        <v>1.3</v>
      </c>
      <c r="W331" s="56">
        <v>2.6</v>
      </c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</row>
    <row r="332" spans="1:39" x14ac:dyDescent="0.4">
      <c r="A332" s="56"/>
      <c r="B332" s="59"/>
      <c r="C332" s="56"/>
      <c r="D332" s="56"/>
      <c r="E332" s="56"/>
      <c r="F332" s="57"/>
      <c r="G332" s="57"/>
      <c r="H332" s="57"/>
      <c r="I332" s="56"/>
      <c r="J332" s="56"/>
      <c r="K332" s="56"/>
      <c r="L332" s="56" t="s">
        <v>949</v>
      </c>
      <c r="M332" s="56">
        <v>113.8</v>
      </c>
      <c r="N332" s="56">
        <v>1</v>
      </c>
      <c r="O332" s="57">
        <v>113800</v>
      </c>
      <c r="P332" s="56">
        <v>0</v>
      </c>
      <c r="Q332" s="56">
        <v>0</v>
      </c>
      <c r="R332" s="56">
        <v>113.8</v>
      </c>
      <c r="S332" s="56">
        <v>113.8</v>
      </c>
      <c r="T332" s="56">
        <v>0</v>
      </c>
      <c r="U332" s="56">
        <v>0</v>
      </c>
      <c r="V332" s="56">
        <v>113.8</v>
      </c>
      <c r="W332" s="57">
        <v>113.8</v>
      </c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</row>
    <row r="333" spans="1:39" x14ac:dyDescent="0.4">
      <c r="A333" s="56"/>
      <c r="B333" s="59"/>
      <c r="C333" s="56"/>
      <c r="D333" s="56"/>
      <c r="E333" s="56"/>
      <c r="F333" s="57"/>
      <c r="G333" s="57"/>
      <c r="H333" s="57"/>
      <c r="I333" s="56"/>
      <c r="J333" s="56"/>
      <c r="K333" s="56"/>
      <c r="L333" s="56" t="s">
        <v>950</v>
      </c>
      <c r="M333" s="56">
        <v>38.299999999999997</v>
      </c>
      <c r="N333" s="56">
        <v>2</v>
      </c>
      <c r="O333" s="57">
        <v>76600</v>
      </c>
      <c r="P333" s="56">
        <v>0</v>
      </c>
      <c r="Q333" s="56">
        <v>0</v>
      </c>
      <c r="R333" s="56">
        <v>38.299999999999997</v>
      </c>
      <c r="S333" s="56">
        <v>76.599999999999994</v>
      </c>
      <c r="T333" s="56">
        <v>0</v>
      </c>
      <c r="U333" s="56">
        <v>0</v>
      </c>
      <c r="V333" s="56">
        <v>38.299999999999997</v>
      </c>
      <c r="W333" s="57">
        <v>76.599999999999994</v>
      </c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</row>
    <row r="334" spans="1:39" x14ac:dyDescent="0.4">
      <c r="A334" s="56"/>
      <c r="B334" s="59"/>
      <c r="C334" s="56"/>
      <c r="D334" s="56"/>
      <c r="E334" s="56"/>
      <c r="F334" s="57"/>
      <c r="G334" s="57"/>
      <c r="H334" s="57"/>
      <c r="I334" s="56"/>
      <c r="J334" s="56" t="s">
        <v>243</v>
      </c>
      <c r="K334" s="56"/>
      <c r="L334" s="56" t="s">
        <v>951</v>
      </c>
      <c r="M334" s="56">
        <v>-38.299999999999997</v>
      </c>
      <c r="N334" s="56">
        <v>1</v>
      </c>
      <c r="O334" s="57">
        <v>-38300</v>
      </c>
      <c r="P334" s="56">
        <v>0</v>
      </c>
      <c r="Q334" s="56">
        <v>0</v>
      </c>
      <c r="R334" s="56">
        <v>-38.299999999999997</v>
      </c>
      <c r="S334" s="56">
        <v>-38.299999999999997</v>
      </c>
      <c r="T334" s="56">
        <v>0</v>
      </c>
      <c r="U334" s="56">
        <v>0</v>
      </c>
      <c r="V334" s="56">
        <v>-38.299999999999997</v>
      </c>
      <c r="W334" s="56">
        <v>-38.299999999999997</v>
      </c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</row>
    <row r="335" spans="1:39" x14ac:dyDescent="0.4">
      <c r="A335" s="56"/>
      <c r="B335" s="59"/>
      <c r="C335" s="56"/>
      <c r="D335" s="56"/>
      <c r="E335" s="56"/>
      <c r="F335" s="57"/>
      <c r="G335" s="57"/>
      <c r="H335" s="57"/>
      <c r="I335" s="56"/>
      <c r="J335" s="56"/>
      <c r="K335" s="56"/>
      <c r="L335" s="56" t="s">
        <v>517</v>
      </c>
      <c r="M335" s="56">
        <v>14</v>
      </c>
      <c r="N335" s="56">
        <v>2</v>
      </c>
      <c r="O335" s="57">
        <v>28000</v>
      </c>
      <c r="P335" s="56">
        <v>13.1</v>
      </c>
      <c r="Q335" s="56">
        <v>26.2</v>
      </c>
      <c r="R335" s="56">
        <v>0.9</v>
      </c>
      <c r="S335" s="56">
        <v>1.8</v>
      </c>
      <c r="T335" s="56">
        <v>13.1</v>
      </c>
      <c r="U335" s="56">
        <v>26.2</v>
      </c>
      <c r="V335" s="56">
        <v>0.9</v>
      </c>
      <c r="W335" s="57">
        <v>1.8</v>
      </c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</row>
    <row r="336" spans="1:39" x14ac:dyDescent="0.4">
      <c r="A336" s="56"/>
      <c r="B336" s="59"/>
      <c r="C336" s="56"/>
      <c r="D336" s="56"/>
      <c r="E336" s="56"/>
      <c r="F336" s="57"/>
      <c r="G336" s="57"/>
      <c r="H336" s="57"/>
      <c r="I336" s="56"/>
      <c r="J336" s="56"/>
      <c r="K336" s="56"/>
      <c r="L336" s="56" t="s">
        <v>518</v>
      </c>
      <c r="M336" s="56"/>
      <c r="N336" s="56"/>
      <c r="O336" s="57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</row>
    <row r="337" spans="1:39" x14ac:dyDescent="0.4">
      <c r="A337" s="56"/>
      <c r="B337" s="59"/>
      <c r="C337" s="56"/>
      <c r="D337" s="56"/>
      <c r="E337" s="56"/>
      <c r="F337" s="57"/>
      <c r="G337" s="57"/>
      <c r="H337" s="57"/>
      <c r="I337" s="56"/>
      <c r="J337" s="56"/>
      <c r="K337" s="56"/>
      <c r="L337" s="56" t="s">
        <v>519</v>
      </c>
      <c r="M337" s="56">
        <v>12</v>
      </c>
      <c r="N337" s="56">
        <v>1</v>
      </c>
      <c r="O337" s="57">
        <v>12000</v>
      </c>
      <c r="P337" s="56">
        <v>11</v>
      </c>
      <c r="Q337" s="56">
        <v>11</v>
      </c>
      <c r="R337" s="56">
        <v>1</v>
      </c>
      <c r="S337" s="56">
        <v>1</v>
      </c>
      <c r="T337" s="56">
        <v>11</v>
      </c>
      <c r="U337" s="56">
        <v>11</v>
      </c>
      <c r="V337" s="56">
        <v>1</v>
      </c>
      <c r="W337" s="57">
        <v>1</v>
      </c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</row>
    <row r="338" spans="1:39" x14ac:dyDescent="0.4">
      <c r="A338" s="56"/>
      <c r="B338" s="59"/>
      <c r="C338" s="56"/>
      <c r="D338" s="56"/>
      <c r="E338" s="56"/>
      <c r="F338" s="57"/>
      <c r="G338" s="57"/>
      <c r="H338" s="57"/>
      <c r="I338" s="56"/>
      <c r="J338" s="56"/>
      <c r="K338" s="56"/>
      <c r="L338" s="56" t="s">
        <v>520</v>
      </c>
      <c r="M338" s="56">
        <v>8</v>
      </c>
      <c r="N338" s="56">
        <v>2</v>
      </c>
      <c r="O338" s="57">
        <v>16000</v>
      </c>
      <c r="P338" s="56">
        <v>7</v>
      </c>
      <c r="Q338" s="56">
        <v>14</v>
      </c>
      <c r="R338" s="56">
        <v>1</v>
      </c>
      <c r="S338" s="56">
        <v>2</v>
      </c>
      <c r="T338" s="56">
        <v>7</v>
      </c>
      <c r="U338" s="56">
        <v>14</v>
      </c>
      <c r="V338" s="56">
        <v>1</v>
      </c>
      <c r="W338" s="57">
        <v>2</v>
      </c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</row>
    <row r="339" spans="1:39" x14ac:dyDescent="0.4">
      <c r="A339" s="56"/>
      <c r="B339" s="59"/>
      <c r="C339" s="56"/>
      <c r="D339" s="56"/>
      <c r="E339" s="56"/>
      <c r="F339" s="57"/>
      <c r="G339" s="57"/>
      <c r="H339" s="57"/>
      <c r="I339" s="56"/>
      <c r="J339" s="56"/>
      <c r="K339" s="56"/>
      <c r="L339" s="56" t="s">
        <v>521</v>
      </c>
      <c r="M339" s="56"/>
      <c r="N339" s="56"/>
      <c r="O339" s="57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</row>
    <row r="340" spans="1:39" x14ac:dyDescent="0.4">
      <c r="A340" s="56"/>
      <c r="B340" s="59"/>
      <c r="C340" s="56"/>
      <c r="D340" s="56"/>
      <c r="E340" s="56"/>
      <c r="F340" s="57"/>
      <c r="G340" s="57"/>
      <c r="H340" s="57"/>
      <c r="I340" s="56"/>
      <c r="J340" s="56"/>
      <c r="K340" s="56"/>
      <c r="L340" s="56" t="s">
        <v>522</v>
      </c>
      <c r="M340" s="56">
        <v>17.100000000000001</v>
      </c>
      <c r="N340" s="56">
        <v>1</v>
      </c>
      <c r="O340" s="57">
        <v>17100</v>
      </c>
      <c r="P340" s="56">
        <v>15.2</v>
      </c>
      <c r="Q340" s="56">
        <v>15.2</v>
      </c>
      <c r="R340" s="56">
        <v>1.9</v>
      </c>
      <c r="S340" s="56">
        <v>1.9</v>
      </c>
      <c r="T340" s="56">
        <v>15.2</v>
      </c>
      <c r="U340" s="56">
        <v>15.2</v>
      </c>
      <c r="V340" s="56">
        <v>1.9</v>
      </c>
      <c r="W340" s="56">
        <v>1.9</v>
      </c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</row>
    <row r="341" spans="1:39" x14ac:dyDescent="0.4">
      <c r="A341" s="56"/>
      <c r="B341" s="59"/>
      <c r="C341" s="56"/>
      <c r="D341" s="56"/>
      <c r="E341" s="56"/>
      <c r="F341" s="57"/>
      <c r="G341" s="57"/>
      <c r="H341" s="57"/>
      <c r="I341" s="56"/>
      <c r="J341" s="56"/>
      <c r="K341" s="56"/>
      <c r="L341" s="56" t="s">
        <v>523</v>
      </c>
      <c r="M341" s="56">
        <v>0.6</v>
      </c>
      <c r="N341" s="56">
        <v>4</v>
      </c>
      <c r="O341" s="57">
        <v>2400</v>
      </c>
      <c r="P341" s="56">
        <v>0</v>
      </c>
      <c r="Q341" s="56">
        <v>0</v>
      </c>
      <c r="R341" s="56">
        <v>0.6</v>
      </c>
      <c r="S341" s="56">
        <v>2.4</v>
      </c>
      <c r="T341" s="56">
        <v>0</v>
      </c>
      <c r="U341" s="56">
        <v>0</v>
      </c>
      <c r="V341" s="56">
        <v>0.6</v>
      </c>
      <c r="W341" s="56">
        <v>2.4</v>
      </c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</row>
    <row r="342" spans="1:39" x14ac:dyDescent="0.4">
      <c r="A342" s="56"/>
      <c r="B342" s="59"/>
      <c r="C342" s="56"/>
      <c r="D342" s="56"/>
      <c r="E342" s="56"/>
      <c r="F342" s="57"/>
      <c r="G342" s="57"/>
      <c r="H342" s="57"/>
      <c r="I342" s="56"/>
      <c r="J342" s="56"/>
      <c r="K342" s="56"/>
      <c r="L342" s="56" t="s">
        <v>524</v>
      </c>
      <c r="M342" s="56">
        <v>17.2</v>
      </c>
      <c r="N342" s="56">
        <v>1</v>
      </c>
      <c r="O342" s="57">
        <v>17200</v>
      </c>
      <c r="P342" s="56">
        <v>0</v>
      </c>
      <c r="Q342" s="56">
        <v>0</v>
      </c>
      <c r="R342" s="56">
        <v>17.2</v>
      </c>
      <c r="S342" s="56">
        <v>17.2</v>
      </c>
      <c r="T342" s="56">
        <v>0</v>
      </c>
      <c r="U342" s="56">
        <v>0</v>
      </c>
      <c r="V342" s="56">
        <v>17.2</v>
      </c>
      <c r="W342" s="56">
        <v>17.2</v>
      </c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</row>
    <row r="343" spans="1:39" x14ac:dyDescent="0.4">
      <c r="A343" s="56"/>
      <c r="B343" s="59"/>
      <c r="C343" s="56"/>
      <c r="D343" s="56"/>
      <c r="E343" s="56"/>
      <c r="F343" s="57"/>
      <c r="G343" s="57"/>
      <c r="H343" s="57"/>
      <c r="I343" s="56"/>
      <c r="J343" s="56"/>
      <c r="K343" s="56"/>
      <c r="L343" s="56" t="s">
        <v>525</v>
      </c>
      <c r="M343" s="56">
        <v>118.3</v>
      </c>
      <c r="N343" s="56">
        <v>1</v>
      </c>
      <c r="O343" s="57">
        <v>118300</v>
      </c>
      <c r="P343" s="56">
        <v>4.8</v>
      </c>
      <c r="Q343" s="56">
        <v>4.8</v>
      </c>
      <c r="R343" s="56">
        <v>113.5</v>
      </c>
      <c r="S343" s="56">
        <v>113.5</v>
      </c>
      <c r="T343" s="56">
        <v>4.8</v>
      </c>
      <c r="U343" s="56">
        <v>4.8</v>
      </c>
      <c r="V343" s="56">
        <v>113.5</v>
      </c>
      <c r="W343" s="57">
        <v>113.5</v>
      </c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</row>
    <row r="344" spans="1:39" x14ac:dyDescent="0.4">
      <c r="A344" s="56"/>
      <c r="B344" s="59"/>
      <c r="C344" s="56"/>
      <c r="D344" s="56"/>
      <c r="E344" s="56"/>
      <c r="F344" s="57"/>
      <c r="G344" s="57"/>
      <c r="H344" s="57"/>
      <c r="I344" s="56"/>
      <c r="J344" s="56"/>
      <c r="K344" s="56" t="s">
        <v>526</v>
      </c>
      <c r="L344" s="56"/>
      <c r="M344" s="56"/>
      <c r="N344" s="56"/>
      <c r="O344" s="57">
        <v>1530400</v>
      </c>
      <c r="P344" s="56"/>
      <c r="Q344" s="56">
        <v>1073.8</v>
      </c>
      <c r="R344" s="56"/>
      <c r="S344" s="57">
        <v>456.6</v>
      </c>
      <c r="T344" s="56"/>
      <c r="U344" s="58">
        <v>1073.8</v>
      </c>
      <c r="V344" s="56"/>
      <c r="W344" s="56">
        <v>456.6</v>
      </c>
      <c r="X344" s="56"/>
      <c r="Y344" s="56"/>
      <c r="Z344" s="58"/>
      <c r="AA344" s="56"/>
      <c r="AB344" s="56"/>
      <c r="AC344" s="56"/>
      <c r="AD344" s="56"/>
      <c r="AE344" s="56"/>
      <c r="AF344" s="56"/>
      <c r="AG344" s="56"/>
      <c r="AH344" s="56"/>
      <c r="AI344" s="56"/>
    </row>
    <row r="345" spans="1:39" x14ac:dyDescent="0.4">
      <c r="A345" s="56"/>
      <c r="B345" s="59"/>
      <c r="C345" s="56"/>
      <c r="D345" s="56"/>
      <c r="E345" s="56"/>
      <c r="F345" s="57"/>
      <c r="G345" s="57"/>
      <c r="H345" s="57"/>
      <c r="I345" s="56"/>
      <c r="J345" s="56"/>
      <c r="K345" s="56" t="s">
        <v>527</v>
      </c>
      <c r="L345" s="56"/>
      <c r="M345" s="56"/>
      <c r="N345" s="56"/>
      <c r="O345" s="57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</row>
    <row r="346" spans="1:39" x14ac:dyDescent="0.4">
      <c r="A346" s="56"/>
      <c r="B346" s="59"/>
      <c r="C346" s="56"/>
      <c r="D346" s="56"/>
      <c r="E346" s="56"/>
      <c r="F346" s="57"/>
      <c r="G346" s="57"/>
      <c r="H346" s="57"/>
      <c r="I346" s="56"/>
      <c r="J346" s="56"/>
      <c r="K346" s="56"/>
      <c r="L346" s="56" t="s">
        <v>528</v>
      </c>
      <c r="M346" s="56"/>
      <c r="N346" s="56"/>
      <c r="O346" s="57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</row>
    <row r="347" spans="1:39" x14ac:dyDescent="0.4">
      <c r="A347" s="56"/>
      <c r="B347" s="59"/>
      <c r="C347" s="56"/>
      <c r="D347" s="56"/>
      <c r="E347" s="56"/>
      <c r="F347" s="57"/>
      <c r="G347" s="57"/>
      <c r="H347" s="57"/>
      <c r="I347" s="56"/>
      <c r="J347" s="56"/>
      <c r="K347" s="56"/>
      <c r="L347" s="56" t="s">
        <v>529</v>
      </c>
      <c r="M347" s="56">
        <v>19.5</v>
      </c>
      <c r="N347" s="56">
        <v>1</v>
      </c>
      <c r="O347" s="57">
        <v>19500</v>
      </c>
      <c r="P347" s="56">
        <v>0</v>
      </c>
      <c r="Q347" s="56">
        <v>0</v>
      </c>
      <c r="R347" s="56">
        <v>19.5</v>
      </c>
      <c r="S347" s="56">
        <v>19.5</v>
      </c>
      <c r="T347" s="56">
        <v>0</v>
      </c>
      <c r="U347" s="56">
        <v>0</v>
      </c>
      <c r="V347" s="56">
        <v>19.5</v>
      </c>
      <c r="W347" s="57">
        <v>19.5</v>
      </c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</row>
    <row r="348" spans="1:39" x14ac:dyDescent="0.4">
      <c r="A348" s="56"/>
      <c r="B348" s="59"/>
      <c r="C348" s="56"/>
      <c r="D348" s="56"/>
      <c r="E348" s="56"/>
      <c r="F348" s="57"/>
      <c r="G348" s="57"/>
      <c r="H348" s="57"/>
      <c r="I348" s="56"/>
      <c r="J348" s="56"/>
      <c r="K348" s="56"/>
      <c r="L348" s="56" t="s">
        <v>530</v>
      </c>
      <c r="M348" s="56">
        <v>2.1</v>
      </c>
      <c r="N348" s="56">
        <v>1</v>
      </c>
      <c r="O348" s="57">
        <v>2100</v>
      </c>
      <c r="P348" s="56">
        <v>0</v>
      </c>
      <c r="Q348" s="56">
        <v>0</v>
      </c>
      <c r="R348" s="56">
        <v>2.1</v>
      </c>
      <c r="S348" s="56">
        <v>2.1</v>
      </c>
      <c r="T348" s="56">
        <v>0</v>
      </c>
      <c r="U348" s="56">
        <v>0</v>
      </c>
      <c r="V348" s="56">
        <v>2.1</v>
      </c>
      <c r="W348" s="57">
        <v>2.1</v>
      </c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</row>
    <row r="349" spans="1:39" x14ac:dyDescent="0.4">
      <c r="A349" s="56"/>
      <c r="B349" s="59"/>
      <c r="C349" s="56"/>
      <c r="D349" s="56"/>
      <c r="E349" s="56"/>
      <c r="F349" s="57"/>
      <c r="G349" s="57"/>
      <c r="H349" s="57"/>
      <c r="I349" s="56"/>
      <c r="J349" s="56"/>
      <c r="K349" s="56"/>
      <c r="L349" s="56" t="s">
        <v>952</v>
      </c>
      <c r="M349" s="56">
        <v>586</v>
      </c>
      <c r="N349" s="56">
        <v>1</v>
      </c>
      <c r="O349" s="57">
        <v>586000</v>
      </c>
      <c r="P349" s="56">
        <v>0</v>
      </c>
      <c r="Q349" s="56">
        <v>0</v>
      </c>
      <c r="R349" s="56">
        <v>586</v>
      </c>
      <c r="S349" s="56">
        <v>586</v>
      </c>
      <c r="T349" s="56">
        <v>0</v>
      </c>
      <c r="U349" s="56">
        <v>0</v>
      </c>
      <c r="V349" s="56">
        <v>586</v>
      </c>
      <c r="W349" s="57">
        <v>586</v>
      </c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</row>
    <row r="350" spans="1:39" x14ac:dyDescent="0.4">
      <c r="A350" s="56"/>
      <c r="B350" s="59"/>
      <c r="C350" s="56"/>
      <c r="D350" s="56"/>
      <c r="E350" s="56"/>
      <c r="F350" s="57"/>
      <c r="G350" s="57"/>
      <c r="H350" s="57"/>
      <c r="I350" s="56"/>
      <c r="J350" s="56"/>
      <c r="K350" s="56"/>
      <c r="L350" s="56" t="s">
        <v>531</v>
      </c>
      <c r="M350" s="56">
        <v>121</v>
      </c>
      <c r="N350" s="56">
        <v>1</v>
      </c>
      <c r="O350" s="57">
        <v>121000</v>
      </c>
      <c r="P350" s="56">
        <v>0</v>
      </c>
      <c r="Q350" s="56">
        <v>0</v>
      </c>
      <c r="R350" s="56">
        <v>121</v>
      </c>
      <c r="S350" s="56">
        <v>121</v>
      </c>
      <c r="T350" s="56">
        <v>0</v>
      </c>
      <c r="U350" s="56">
        <v>0</v>
      </c>
      <c r="V350" s="56">
        <v>121</v>
      </c>
      <c r="W350" s="56">
        <v>121</v>
      </c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</row>
    <row r="351" spans="1:39" x14ac:dyDescent="0.4">
      <c r="A351" s="56"/>
      <c r="B351" s="59"/>
      <c r="C351" s="56"/>
      <c r="D351" s="56"/>
      <c r="E351" s="56"/>
      <c r="F351" s="57"/>
      <c r="G351" s="57"/>
      <c r="H351" s="57"/>
      <c r="I351" s="56"/>
      <c r="J351" s="56"/>
      <c r="K351" s="56" t="s">
        <v>532</v>
      </c>
      <c r="L351" s="56"/>
      <c r="M351" s="56"/>
      <c r="N351" s="56"/>
      <c r="O351" s="57">
        <v>728600</v>
      </c>
      <c r="P351" s="56"/>
      <c r="Q351" s="56">
        <v>0</v>
      </c>
      <c r="R351" s="56"/>
      <c r="S351" s="56">
        <v>728.6</v>
      </c>
      <c r="T351" s="56"/>
      <c r="U351" s="56">
        <v>0</v>
      </c>
      <c r="V351" s="56"/>
      <c r="W351" s="56">
        <v>728.6</v>
      </c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</row>
    <row r="352" spans="1:39" x14ac:dyDescent="0.4">
      <c r="A352" s="56"/>
      <c r="B352" s="59"/>
      <c r="C352" s="56"/>
      <c r="D352" s="56"/>
      <c r="E352" s="56"/>
      <c r="F352" s="57"/>
      <c r="G352" s="57"/>
      <c r="H352" s="57"/>
      <c r="I352" s="56"/>
      <c r="J352" s="56"/>
      <c r="K352" s="56" t="s">
        <v>533</v>
      </c>
      <c r="L352" s="56"/>
      <c r="M352" s="56"/>
      <c r="N352" s="56"/>
      <c r="O352" s="57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</row>
    <row r="353" spans="1:39" x14ac:dyDescent="0.4">
      <c r="A353" s="56"/>
      <c r="B353" s="59"/>
      <c r="C353" s="56"/>
      <c r="D353" s="56"/>
      <c r="E353" s="56"/>
      <c r="F353" s="57"/>
      <c r="G353" s="57"/>
      <c r="H353" s="57"/>
      <c r="I353" s="56"/>
      <c r="J353" s="56"/>
      <c r="K353" s="56"/>
      <c r="L353" s="56" t="s">
        <v>819</v>
      </c>
      <c r="M353" s="56"/>
      <c r="N353" s="56"/>
      <c r="O353" s="57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</row>
    <row r="354" spans="1:39" x14ac:dyDescent="0.4">
      <c r="A354" s="56"/>
      <c r="B354" s="59"/>
      <c r="C354" s="56"/>
      <c r="D354" s="56"/>
      <c r="E354" s="56"/>
      <c r="F354" s="57"/>
      <c r="G354" s="57"/>
      <c r="H354" s="57"/>
      <c r="I354" s="56"/>
      <c r="J354" s="56"/>
      <c r="K354" s="56"/>
      <c r="L354" s="56" t="s">
        <v>820</v>
      </c>
      <c r="M354" s="56">
        <v>15</v>
      </c>
      <c r="N354" s="56">
        <v>1</v>
      </c>
      <c r="O354" s="57">
        <v>15000</v>
      </c>
      <c r="P354" s="56">
        <v>12</v>
      </c>
      <c r="Q354" s="56">
        <v>12</v>
      </c>
      <c r="R354" s="56">
        <v>3</v>
      </c>
      <c r="S354" s="56">
        <v>3</v>
      </c>
      <c r="T354" s="56">
        <v>12</v>
      </c>
      <c r="U354" s="56">
        <v>12</v>
      </c>
      <c r="V354" s="56">
        <v>3</v>
      </c>
      <c r="W354" s="56">
        <v>3</v>
      </c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</row>
    <row r="355" spans="1:39" x14ac:dyDescent="0.4">
      <c r="A355" s="56"/>
      <c r="B355" s="59"/>
      <c r="C355" s="56"/>
      <c r="D355" s="56"/>
      <c r="E355" s="56"/>
      <c r="F355" s="57"/>
      <c r="G355" s="57"/>
      <c r="H355" s="57"/>
      <c r="I355" s="56"/>
      <c r="J355" s="56" t="s">
        <v>243</v>
      </c>
      <c r="K355" s="56"/>
      <c r="L355" s="56" t="s">
        <v>953</v>
      </c>
      <c r="M355" s="56">
        <v>-15</v>
      </c>
      <c r="N355" s="56">
        <v>1</v>
      </c>
      <c r="O355" s="57">
        <v>-15000</v>
      </c>
      <c r="P355" s="56">
        <v>-12</v>
      </c>
      <c r="Q355" s="56">
        <v>-12</v>
      </c>
      <c r="R355" s="56">
        <v>-3</v>
      </c>
      <c r="S355" s="56">
        <v>-3</v>
      </c>
      <c r="T355" s="56">
        <v>-12</v>
      </c>
      <c r="U355" s="56">
        <v>-12</v>
      </c>
      <c r="V355" s="56">
        <v>-3</v>
      </c>
      <c r="W355" s="56">
        <v>-3</v>
      </c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</row>
    <row r="356" spans="1:39" x14ac:dyDescent="0.4">
      <c r="A356" s="56"/>
      <c r="B356" s="59"/>
      <c r="C356" s="56"/>
      <c r="D356" s="56"/>
      <c r="E356" s="56"/>
      <c r="F356" s="57"/>
      <c r="G356" s="57"/>
      <c r="H356" s="57"/>
      <c r="I356" s="56"/>
      <c r="J356" s="56"/>
      <c r="K356" s="56"/>
      <c r="L356" s="56" t="s">
        <v>821</v>
      </c>
      <c r="M356" s="56">
        <v>14.7</v>
      </c>
      <c r="N356" s="56">
        <v>1</v>
      </c>
      <c r="O356" s="57">
        <v>14700</v>
      </c>
      <c r="P356" s="56">
        <v>12</v>
      </c>
      <c r="Q356" s="56">
        <v>12</v>
      </c>
      <c r="R356" s="56">
        <v>2.7</v>
      </c>
      <c r="S356" s="56">
        <v>2.7</v>
      </c>
      <c r="T356" s="56">
        <v>12</v>
      </c>
      <c r="U356" s="56">
        <v>12</v>
      </c>
      <c r="V356" s="56">
        <v>2.7</v>
      </c>
      <c r="W356" s="56">
        <v>2.7</v>
      </c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</row>
    <row r="357" spans="1:39" x14ac:dyDescent="0.4">
      <c r="A357" s="56"/>
      <c r="B357" s="59"/>
      <c r="C357" s="56"/>
      <c r="D357" s="56"/>
      <c r="E357" s="56"/>
      <c r="F357" s="57"/>
      <c r="G357" s="57"/>
      <c r="H357" s="57"/>
      <c r="I357" s="56"/>
      <c r="J357" s="56"/>
      <c r="K357" s="56"/>
      <c r="L357" s="56" t="s">
        <v>822</v>
      </c>
      <c r="M357" s="56">
        <v>9.9</v>
      </c>
      <c r="N357" s="56">
        <v>1</v>
      </c>
      <c r="O357" s="57">
        <v>9900</v>
      </c>
      <c r="P357" s="56">
        <v>9</v>
      </c>
      <c r="Q357" s="56">
        <v>9</v>
      </c>
      <c r="R357" s="56">
        <v>0.9</v>
      </c>
      <c r="S357" s="56">
        <v>0.9</v>
      </c>
      <c r="T357" s="56">
        <v>9</v>
      </c>
      <c r="U357" s="56">
        <v>9</v>
      </c>
      <c r="V357" s="56">
        <v>0.9</v>
      </c>
      <c r="W357" s="56">
        <v>0.9</v>
      </c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</row>
    <row r="358" spans="1:39" x14ac:dyDescent="0.4">
      <c r="A358" s="56"/>
      <c r="B358" s="59"/>
      <c r="C358" s="56"/>
      <c r="D358" s="56"/>
      <c r="E358" s="56"/>
      <c r="F358" s="57"/>
      <c r="G358" s="57"/>
      <c r="H358" s="57"/>
      <c r="I358" s="56"/>
      <c r="J358" s="56"/>
      <c r="K358" s="56" t="s">
        <v>534</v>
      </c>
      <c r="L358" s="56"/>
      <c r="M358" s="56"/>
      <c r="N358" s="56"/>
      <c r="O358" s="57">
        <v>24600</v>
      </c>
      <c r="P358" s="56"/>
      <c r="Q358" s="56">
        <v>21</v>
      </c>
      <c r="R358" s="56"/>
      <c r="S358" s="56">
        <v>3.6</v>
      </c>
      <c r="T358" s="56"/>
      <c r="U358" s="56">
        <v>21</v>
      </c>
      <c r="V358" s="56"/>
      <c r="W358" s="56">
        <v>3.6</v>
      </c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</row>
    <row r="359" spans="1:39" x14ac:dyDescent="0.4">
      <c r="A359" s="56"/>
      <c r="B359" s="59"/>
      <c r="C359" s="56"/>
      <c r="D359" s="56"/>
      <c r="E359" s="56"/>
      <c r="F359" s="57"/>
      <c r="G359" s="57"/>
      <c r="H359" s="57"/>
      <c r="I359" s="56"/>
      <c r="J359" s="56"/>
      <c r="K359" s="56" t="s">
        <v>535</v>
      </c>
      <c r="L359" s="56"/>
      <c r="M359" s="56"/>
      <c r="N359" s="56"/>
      <c r="O359" s="57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</row>
    <row r="360" spans="1:39" x14ac:dyDescent="0.4">
      <c r="A360" s="56"/>
      <c r="B360" s="59"/>
      <c r="C360" s="56"/>
      <c r="D360" s="56"/>
      <c r="E360" s="56"/>
      <c r="F360" s="57"/>
      <c r="G360" s="57"/>
      <c r="H360" s="57"/>
      <c r="I360" s="56"/>
      <c r="J360" s="56"/>
      <c r="K360" s="56" t="s">
        <v>536</v>
      </c>
      <c r="L360" s="56"/>
      <c r="M360" s="56"/>
      <c r="N360" s="56"/>
      <c r="O360" s="57">
        <v>0</v>
      </c>
      <c r="P360" s="56"/>
      <c r="Q360" s="56">
        <v>0</v>
      </c>
      <c r="R360" s="56"/>
      <c r="S360" s="57">
        <v>0</v>
      </c>
      <c r="T360" s="56"/>
      <c r="U360" s="56">
        <v>0</v>
      </c>
      <c r="V360" s="56"/>
      <c r="W360" s="56">
        <v>0</v>
      </c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</row>
    <row r="361" spans="1:39" x14ac:dyDescent="0.4">
      <c r="A361" s="56"/>
      <c r="B361" s="59"/>
      <c r="C361" s="56"/>
      <c r="D361" s="56"/>
      <c r="E361" s="56"/>
      <c r="F361" s="57"/>
      <c r="G361" s="57"/>
      <c r="H361" s="57"/>
      <c r="I361" s="56"/>
      <c r="J361" s="56"/>
      <c r="K361" s="56" t="s">
        <v>537</v>
      </c>
      <c r="L361" s="56"/>
      <c r="M361" s="56"/>
      <c r="N361" s="56"/>
      <c r="O361" s="57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</row>
    <row r="362" spans="1:39" x14ac:dyDescent="0.4">
      <c r="A362" s="56"/>
      <c r="B362" s="59"/>
      <c r="C362" s="56"/>
      <c r="D362" s="56"/>
      <c r="E362" s="56"/>
      <c r="F362" s="57"/>
      <c r="G362" s="57"/>
      <c r="H362" s="57"/>
      <c r="I362" s="56"/>
      <c r="J362" s="56"/>
      <c r="K362" s="56"/>
      <c r="L362" s="56" t="s">
        <v>538</v>
      </c>
      <c r="M362" s="56"/>
      <c r="N362" s="56"/>
      <c r="O362" s="57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</row>
    <row r="363" spans="1:39" x14ac:dyDescent="0.4">
      <c r="A363" s="56"/>
      <c r="B363" s="59"/>
      <c r="C363" s="56"/>
      <c r="D363" s="56"/>
      <c r="E363" s="56"/>
      <c r="F363" s="57"/>
      <c r="G363" s="57"/>
      <c r="H363" s="57"/>
      <c r="I363" s="56"/>
      <c r="J363" s="56"/>
      <c r="K363" s="56"/>
      <c r="L363" s="56" t="s">
        <v>539</v>
      </c>
      <c r="M363" s="56">
        <v>8</v>
      </c>
      <c r="N363" s="56">
        <v>11</v>
      </c>
      <c r="O363" s="57">
        <v>88000</v>
      </c>
      <c r="P363" s="56">
        <v>8</v>
      </c>
      <c r="Q363" s="56">
        <v>88</v>
      </c>
      <c r="R363" s="56">
        <v>0</v>
      </c>
      <c r="S363" s="56">
        <v>0</v>
      </c>
      <c r="T363" s="56">
        <v>8</v>
      </c>
      <c r="U363" s="56">
        <v>88</v>
      </c>
      <c r="V363" s="56">
        <v>0</v>
      </c>
      <c r="W363" s="56">
        <v>0</v>
      </c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</row>
    <row r="364" spans="1:39" x14ac:dyDescent="0.4">
      <c r="A364" s="56"/>
      <c r="B364" s="59"/>
      <c r="C364" s="56"/>
      <c r="D364" s="56"/>
      <c r="E364" s="56"/>
      <c r="F364" s="57"/>
      <c r="G364" s="57"/>
      <c r="H364" s="57"/>
      <c r="I364" s="56"/>
      <c r="J364" s="56"/>
      <c r="K364" s="56"/>
      <c r="L364" s="56" t="s">
        <v>540</v>
      </c>
      <c r="M364" s="56">
        <v>7</v>
      </c>
      <c r="N364" s="56">
        <v>45</v>
      </c>
      <c r="O364" s="57">
        <v>315000</v>
      </c>
      <c r="P364" s="56">
        <v>6.1</v>
      </c>
      <c r="Q364" s="56">
        <v>274.5</v>
      </c>
      <c r="R364" s="56">
        <v>0.9</v>
      </c>
      <c r="S364" s="56">
        <v>40.5</v>
      </c>
      <c r="T364" s="56">
        <v>6.1</v>
      </c>
      <c r="U364" s="56">
        <v>274.5</v>
      </c>
      <c r="V364" s="56">
        <v>0.9</v>
      </c>
      <c r="W364" s="56">
        <v>40.5</v>
      </c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</row>
    <row r="365" spans="1:39" x14ac:dyDescent="0.4">
      <c r="A365" s="56"/>
      <c r="B365" s="59"/>
      <c r="C365" s="56"/>
      <c r="D365" s="56"/>
      <c r="E365" s="56"/>
      <c r="F365" s="57"/>
      <c r="G365" s="57"/>
      <c r="H365" s="57"/>
      <c r="I365" s="56"/>
      <c r="J365" s="56"/>
      <c r="K365" s="56"/>
      <c r="L365" s="56" t="s">
        <v>541</v>
      </c>
      <c r="M365" s="56">
        <v>90.1</v>
      </c>
      <c r="N365" s="56">
        <v>1</v>
      </c>
      <c r="O365" s="57">
        <v>90100</v>
      </c>
      <c r="P365" s="56">
        <v>37.200000000000003</v>
      </c>
      <c r="Q365" s="56">
        <v>37.200000000000003</v>
      </c>
      <c r="R365" s="56">
        <v>52.9</v>
      </c>
      <c r="S365" s="56">
        <v>52.9</v>
      </c>
      <c r="T365" s="56">
        <v>37.200000000000003</v>
      </c>
      <c r="U365" s="56">
        <v>37.200000000000003</v>
      </c>
      <c r="V365" s="56">
        <v>52.9</v>
      </c>
      <c r="W365" s="57">
        <v>52.9</v>
      </c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</row>
    <row r="366" spans="1:39" x14ac:dyDescent="0.4">
      <c r="A366" s="56"/>
      <c r="B366" s="59"/>
      <c r="C366" s="56"/>
      <c r="D366" s="56"/>
      <c r="E366" s="56"/>
      <c r="F366" s="57"/>
      <c r="G366" s="57"/>
      <c r="H366" s="57"/>
      <c r="I366" s="56"/>
      <c r="J366" s="56"/>
      <c r="K366" s="56"/>
      <c r="L366" s="56" t="s">
        <v>542</v>
      </c>
      <c r="M366" s="56">
        <v>93.3</v>
      </c>
      <c r="N366" s="56">
        <v>1</v>
      </c>
      <c r="O366" s="57">
        <v>93300</v>
      </c>
      <c r="P366" s="56">
        <v>0</v>
      </c>
      <c r="Q366" s="56">
        <v>0</v>
      </c>
      <c r="R366" s="56">
        <v>93.3</v>
      </c>
      <c r="S366" s="56">
        <v>93.3</v>
      </c>
      <c r="T366" s="56">
        <v>0</v>
      </c>
      <c r="U366" s="56">
        <v>0</v>
      </c>
      <c r="V366" s="56">
        <v>93.3</v>
      </c>
      <c r="W366" s="56">
        <v>93.3</v>
      </c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</row>
    <row r="367" spans="1:39" x14ac:dyDescent="0.4">
      <c r="A367" s="56"/>
      <c r="B367" s="59"/>
      <c r="C367" s="56"/>
      <c r="D367" s="56"/>
      <c r="E367" s="56"/>
      <c r="F367" s="57"/>
      <c r="G367" s="57"/>
      <c r="H367" s="57"/>
      <c r="I367" s="56"/>
      <c r="J367" s="56" t="s">
        <v>243</v>
      </c>
      <c r="K367" s="56"/>
      <c r="L367" s="56" t="s">
        <v>936</v>
      </c>
      <c r="M367" s="56">
        <v>-93.3</v>
      </c>
      <c r="N367" s="56">
        <v>1</v>
      </c>
      <c r="O367" s="57">
        <v>-93300</v>
      </c>
      <c r="P367" s="56">
        <v>0</v>
      </c>
      <c r="Q367" s="56">
        <v>0</v>
      </c>
      <c r="R367" s="56">
        <v>-93.3</v>
      </c>
      <c r="S367" s="56">
        <v>-93.3</v>
      </c>
      <c r="T367" s="56">
        <v>0</v>
      </c>
      <c r="U367" s="56">
        <v>0</v>
      </c>
      <c r="V367" s="56">
        <v>-93.3</v>
      </c>
      <c r="W367" s="57">
        <v>-93.3</v>
      </c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</row>
    <row r="368" spans="1:39" x14ac:dyDescent="0.4">
      <c r="A368" s="56"/>
      <c r="B368" s="59"/>
      <c r="C368" s="56"/>
      <c r="D368" s="56"/>
      <c r="E368" s="56"/>
      <c r="F368" s="57"/>
      <c r="G368" s="57"/>
      <c r="H368" s="57"/>
      <c r="I368" s="56"/>
      <c r="J368" s="56"/>
      <c r="K368" s="56"/>
      <c r="L368" s="56" t="s">
        <v>543</v>
      </c>
      <c r="M368" s="56">
        <v>5.2</v>
      </c>
      <c r="N368" s="56">
        <v>5</v>
      </c>
      <c r="O368" s="57">
        <v>26000</v>
      </c>
      <c r="P368" s="56">
        <v>5</v>
      </c>
      <c r="Q368" s="56">
        <v>25</v>
      </c>
      <c r="R368" s="56">
        <v>0.2</v>
      </c>
      <c r="S368" s="56">
        <v>1</v>
      </c>
      <c r="T368" s="56">
        <v>5</v>
      </c>
      <c r="U368" s="56">
        <v>25</v>
      </c>
      <c r="V368" s="56">
        <v>0.2</v>
      </c>
      <c r="W368" s="57">
        <v>1</v>
      </c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</row>
    <row r="369" spans="1:39" x14ac:dyDescent="0.4">
      <c r="A369" s="56"/>
      <c r="B369" s="59"/>
      <c r="C369" s="56"/>
      <c r="D369" s="56"/>
      <c r="E369" s="56"/>
      <c r="F369" s="57"/>
      <c r="G369" s="57"/>
      <c r="H369" s="57"/>
      <c r="I369" s="56"/>
      <c r="J369" s="56"/>
      <c r="K369" s="56"/>
      <c r="L369" s="56" t="s">
        <v>544</v>
      </c>
      <c r="M369" s="56">
        <v>2</v>
      </c>
      <c r="N369" s="56">
        <v>1</v>
      </c>
      <c r="O369" s="57">
        <v>2000</v>
      </c>
      <c r="P369" s="56">
        <v>2</v>
      </c>
      <c r="Q369" s="56">
        <v>2</v>
      </c>
      <c r="R369" s="56">
        <v>0</v>
      </c>
      <c r="S369" s="56">
        <v>0</v>
      </c>
      <c r="T369" s="56">
        <v>2</v>
      </c>
      <c r="U369" s="56">
        <v>2</v>
      </c>
      <c r="V369" s="56">
        <v>0</v>
      </c>
      <c r="W369" s="57">
        <v>0</v>
      </c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</row>
    <row r="370" spans="1:39" x14ac:dyDescent="0.4">
      <c r="A370" s="56"/>
      <c r="B370" s="59"/>
      <c r="C370" s="56"/>
      <c r="D370" s="56"/>
      <c r="E370" s="56"/>
      <c r="F370" s="57"/>
      <c r="G370" s="57"/>
      <c r="H370" s="57"/>
      <c r="I370" s="56"/>
      <c r="J370" s="56"/>
      <c r="K370" s="56"/>
      <c r="L370" s="56" t="s">
        <v>545</v>
      </c>
      <c r="M370" s="56">
        <v>12.3</v>
      </c>
      <c r="N370" s="56">
        <v>3</v>
      </c>
      <c r="O370" s="57">
        <v>36900</v>
      </c>
      <c r="P370" s="56">
        <v>4</v>
      </c>
      <c r="Q370" s="56">
        <v>12</v>
      </c>
      <c r="R370" s="56">
        <v>8.3000000000000007</v>
      </c>
      <c r="S370" s="56">
        <v>24.9</v>
      </c>
      <c r="T370" s="56">
        <v>4</v>
      </c>
      <c r="U370" s="56">
        <v>12</v>
      </c>
      <c r="V370" s="56">
        <v>8.3000000000000007</v>
      </c>
      <c r="W370" s="57">
        <v>24.9</v>
      </c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</row>
    <row r="371" spans="1:39" x14ac:dyDescent="0.4">
      <c r="A371" s="56"/>
      <c r="B371" s="59"/>
      <c r="C371" s="56"/>
      <c r="D371" s="56"/>
      <c r="E371" s="56"/>
      <c r="F371" s="57"/>
      <c r="G371" s="57"/>
      <c r="H371" s="57"/>
      <c r="I371" s="56"/>
      <c r="J371" s="56"/>
      <c r="K371" s="56"/>
      <c r="L371" s="56" t="s">
        <v>546</v>
      </c>
      <c r="M371" s="56"/>
      <c r="N371" s="56"/>
      <c r="O371" s="57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</row>
    <row r="372" spans="1:39" x14ac:dyDescent="0.4">
      <c r="A372" s="56"/>
      <c r="B372" s="59"/>
      <c r="C372" s="56"/>
      <c r="D372" s="56"/>
      <c r="E372" s="56"/>
      <c r="F372" s="57"/>
      <c r="G372" s="57"/>
      <c r="H372" s="57"/>
      <c r="I372" s="56"/>
      <c r="J372" s="56"/>
      <c r="K372" s="56"/>
      <c r="L372" s="56" t="s">
        <v>547</v>
      </c>
      <c r="M372" s="56">
        <v>1.6</v>
      </c>
      <c r="N372" s="56">
        <v>70</v>
      </c>
      <c r="O372" s="57">
        <v>112000</v>
      </c>
      <c r="P372" s="56">
        <v>1.6</v>
      </c>
      <c r="Q372" s="56">
        <v>112</v>
      </c>
      <c r="R372" s="56">
        <v>0</v>
      </c>
      <c r="S372" s="56">
        <v>0</v>
      </c>
      <c r="T372" s="56">
        <v>1.6</v>
      </c>
      <c r="U372" s="56">
        <v>112</v>
      </c>
      <c r="V372" s="56">
        <v>0</v>
      </c>
      <c r="W372" s="57">
        <v>0</v>
      </c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</row>
    <row r="373" spans="1:39" x14ac:dyDescent="0.4">
      <c r="A373" s="56"/>
      <c r="B373" s="59"/>
      <c r="C373" s="56"/>
      <c r="D373" s="56"/>
      <c r="E373" s="56"/>
      <c r="F373" s="57"/>
      <c r="G373" s="57"/>
      <c r="H373" s="57"/>
      <c r="I373" s="56"/>
      <c r="J373" s="56"/>
      <c r="K373" s="56"/>
      <c r="L373" s="56" t="s">
        <v>548</v>
      </c>
      <c r="M373" s="56">
        <v>5.7</v>
      </c>
      <c r="N373" s="56">
        <v>6</v>
      </c>
      <c r="O373" s="57">
        <v>34200</v>
      </c>
      <c r="P373" s="56">
        <v>5.7</v>
      </c>
      <c r="Q373" s="56">
        <v>34.200000000000003</v>
      </c>
      <c r="R373" s="56">
        <v>0</v>
      </c>
      <c r="S373" s="56">
        <v>0</v>
      </c>
      <c r="T373" s="56">
        <v>5.7</v>
      </c>
      <c r="U373" s="56">
        <v>34.200000000000003</v>
      </c>
      <c r="V373" s="56">
        <v>0</v>
      </c>
      <c r="W373" s="56">
        <v>0</v>
      </c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</row>
    <row r="374" spans="1:39" x14ac:dyDescent="0.4">
      <c r="A374" s="56"/>
      <c r="B374" s="59"/>
      <c r="C374" s="56"/>
      <c r="D374" s="56"/>
      <c r="E374" s="56"/>
      <c r="F374" s="57"/>
      <c r="G374" s="57"/>
      <c r="H374" s="57"/>
      <c r="I374" s="56"/>
      <c r="J374" s="56"/>
      <c r="K374" s="56"/>
      <c r="L374" s="56" t="s">
        <v>549</v>
      </c>
      <c r="M374" s="56">
        <v>5.7</v>
      </c>
      <c r="N374" s="56">
        <v>1</v>
      </c>
      <c r="O374" s="57">
        <v>5700</v>
      </c>
      <c r="P374" s="56">
        <v>5.7</v>
      </c>
      <c r="Q374" s="56">
        <v>5.7</v>
      </c>
      <c r="R374" s="56">
        <v>0</v>
      </c>
      <c r="S374" s="56">
        <v>0</v>
      </c>
      <c r="T374" s="56">
        <v>5.7</v>
      </c>
      <c r="U374" s="56">
        <v>5.7</v>
      </c>
      <c r="V374" s="56">
        <v>0</v>
      </c>
      <c r="W374" s="56">
        <v>0</v>
      </c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</row>
    <row r="375" spans="1:39" x14ac:dyDescent="0.4">
      <c r="A375" s="56"/>
      <c r="B375" s="59"/>
      <c r="C375" s="56"/>
      <c r="D375" s="56"/>
      <c r="E375" s="56"/>
      <c r="F375" s="57"/>
      <c r="G375" s="57"/>
      <c r="H375" s="57"/>
      <c r="I375" s="56"/>
      <c r="J375" s="56"/>
      <c r="K375" s="56"/>
      <c r="L375" s="56" t="s">
        <v>550</v>
      </c>
      <c r="M375" s="56">
        <v>13.8</v>
      </c>
      <c r="N375" s="56">
        <v>1</v>
      </c>
      <c r="O375" s="57">
        <v>13800</v>
      </c>
      <c r="P375" s="56">
        <v>13</v>
      </c>
      <c r="Q375" s="56">
        <v>13</v>
      </c>
      <c r="R375" s="56">
        <v>0.8</v>
      </c>
      <c r="S375" s="56">
        <v>0.8</v>
      </c>
      <c r="T375" s="56">
        <v>13</v>
      </c>
      <c r="U375" s="56">
        <v>13</v>
      </c>
      <c r="V375" s="56">
        <v>0.8</v>
      </c>
      <c r="W375" s="57">
        <v>0.8</v>
      </c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</row>
    <row r="376" spans="1:39" x14ac:dyDescent="0.4">
      <c r="A376" s="56"/>
      <c r="B376" s="59"/>
      <c r="C376" s="56"/>
      <c r="D376" s="56"/>
      <c r="E376" s="56"/>
      <c r="F376" s="57"/>
      <c r="G376" s="57"/>
      <c r="H376" s="57"/>
      <c r="I376" s="56"/>
      <c r="J376" s="56"/>
      <c r="K376" s="56"/>
      <c r="L376" s="56" t="s">
        <v>551</v>
      </c>
      <c r="M376" s="56">
        <v>4</v>
      </c>
      <c r="N376" s="56">
        <v>8</v>
      </c>
      <c r="O376" s="57">
        <v>32000</v>
      </c>
      <c r="P376" s="56">
        <v>4</v>
      </c>
      <c r="Q376" s="56">
        <v>32</v>
      </c>
      <c r="R376" s="56">
        <v>0</v>
      </c>
      <c r="S376" s="56">
        <v>0</v>
      </c>
      <c r="T376" s="56">
        <v>4</v>
      </c>
      <c r="U376" s="56">
        <v>32</v>
      </c>
      <c r="V376" s="56">
        <v>0</v>
      </c>
      <c r="W376" s="56">
        <v>0</v>
      </c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</row>
    <row r="377" spans="1:39" x14ac:dyDescent="0.4">
      <c r="A377" s="56"/>
      <c r="B377" s="59"/>
      <c r="C377" s="56"/>
      <c r="D377" s="56"/>
      <c r="E377" s="56"/>
      <c r="F377" s="57"/>
      <c r="G377" s="57"/>
      <c r="H377" s="57"/>
      <c r="I377" s="56"/>
      <c r="J377" s="56"/>
      <c r="K377" s="56"/>
      <c r="L377" s="56" t="s">
        <v>552</v>
      </c>
      <c r="M377" s="56"/>
      <c r="N377" s="56"/>
      <c r="O377" s="57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</row>
    <row r="378" spans="1:39" x14ac:dyDescent="0.4">
      <c r="A378" s="56"/>
      <c r="B378" s="59"/>
      <c r="C378" s="56"/>
      <c r="D378" s="56"/>
      <c r="E378" s="56"/>
      <c r="F378" s="57"/>
      <c r="G378" s="57"/>
      <c r="H378" s="57"/>
      <c r="I378" s="56"/>
      <c r="J378" s="56"/>
      <c r="K378" s="56"/>
      <c r="L378" s="56" t="s">
        <v>954</v>
      </c>
      <c r="M378" s="56">
        <v>58</v>
      </c>
      <c r="N378" s="56">
        <v>1</v>
      </c>
      <c r="O378" s="57">
        <v>58000</v>
      </c>
      <c r="P378" s="56">
        <v>58</v>
      </c>
      <c r="Q378" s="56">
        <v>58</v>
      </c>
      <c r="R378" s="56">
        <v>0</v>
      </c>
      <c r="S378" s="56">
        <v>0</v>
      </c>
      <c r="T378" s="56">
        <v>58</v>
      </c>
      <c r="U378" s="56">
        <v>58</v>
      </c>
      <c r="V378" s="57">
        <v>0</v>
      </c>
      <c r="W378" s="56">
        <v>0</v>
      </c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</row>
    <row r="379" spans="1:39" x14ac:dyDescent="0.4">
      <c r="A379" s="56"/>
      <c r="B379" s="59"/>
      <c r="C379" s="56"/>
      <c r="D379" s="56"/>
      <c r="E379" s="56"/>
      <c r="F379" s="57"/>
      <c r="G379" s="57"/>
      <c r="H379" s="57"/>
      <c r="I379" s="56"/>
      <c r="J379" s="56"/>
      <c r="K379" s="56"/>
      <c r="L379" s="56" t="s">
        <v>823</v>
      </c>
      <c r="M379" s="56">
        <v>2.6</v>
      </c>
      <c r="N379" s="56">
        <v>1</v>
      </c>
      <c r="O379" s="57">
        <v>2600</v>
      </c>
      <c r="P379" s="56">
        <v>1.5</v>
      </c>
      <c r="Q379" s="56">
        <v>1.5</v>
      </c>
      <c r="R379" s="56">
        <v>1.1000000000000001</v>
      </c>
      <c r="S379" s="56">
        <v>1.1000000000000001</v>
      </c>
      <c r="T379" s="56">
        <v>1.5</v>
      </c>
      <c r="U379" s="56">
        <v>1.5</v>
      </c>
      <c r="V379" s="56">
        <v>1.1000000000000001</v>
      </c>
      <c r="W379" s="56">
        <v>1.1000000000000001</v>
      </c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</row>
    <row r="380" spans="1:39" x14ac:dyDescent="0.4">
      <c r="A380" s="56"/>
      <c r="B380" s="59"/>
      <c r="C380" s="56"/>
      <c r="D380" s="56"/>
      <c r="E380" s="56"/>
      <c r="F380" s="57"/>
      <c r="G380" s="57"/>
      <c r="H380" s="57"/>
      <c r="I380" s="56"/>
      <c r="J380" s="56"/>
      <c r="K380" s="56"/>
      <c r="L380" s="56" t="s">
        <v>553</v>
      </c>
      <c r="M380" s="56"/>
      <c r="N380" s="56"/>
      <c r="O380" s="57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</row>
    <row r="381" spans="1:39" x14ac:dyDescent="0.4">
      <c r="A381" s="56"/>
      <c r="B381" s="59"/>
      <c r="C381" s="56"/>
      <c r="D381" s="56"/>
      <c r="E381" s="56"/>
      <c r="F381" s="57"/>
      <c r="G381" s="57"/>
      <c r="H381" s="57"/>
      <c r="I381" s="56"/>
      <c r="J381" s="56"/>
      <c r="K381" s="56"/>
      <c r="L381" s="56" t="s">
        <v>554</v>
      </c>
      <c r="M381" s="56">
        <v>14</v>
      </c>
      <c r="N381" s="56">
        <v>1</v>
      </c>
      <c r="O381" s="57">
        <v>14000</v>
      </c>
      <c r="P381" s="56">
        <v>14</v>
      </c>
      <c r="Q381" s="56">
        <v>14</v>
      </c>
      <c r="R381" s="56">
        <v>0</v>
      </c>
      <c r="S381" s="56">
        <v>0</v>
      </c>
      <c r="T381" s="56">
        <v>14</v>
      </c>
      <c r="U381" s="56">
        <v>14</v>
      </c>
      <c r="V381" s="57">
        <v>0</v>
      </c>
      <c r="W381" s="56">
        <v>0</v>
      </c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</row>
    <row r="382" spans="1:39" x14ac:dyDescent="0.4">
      <c r="A382" s="56"/>
      <c r="B382" s="59"/>
      <c r="C382" s="56"/>
      <c r="D382" s="56"/>
      <c r="E382" s="56"/>
      <c r="F382" s="57"/>
      <c r="G382" s="57"/>
      <c r="H382" s="57"/>
      <c r="I382" s="56"/>
      <c r="J382" s="56"/>
      <c r="K382" s="56"/>
      <c r="L382" s="56" t="s">
        <v>955</v>
      </c>
      <c r="M382" s="56">
        <v>22</v>
      </c>
      <c r="N382" s="56">
        <v>2</v>
      </c>
      <c r="O382" s="57">
        <v>44000</v>
      </c>
      <c r="P382" s="56">
        <v>22</v>
      </c>
      <c r="Q382" s="56">
        <v>44</v>
      </c>
      <c r="R382" s="56">
        <v>0</v>
      </c>
      <c r="S382" s="56">
        <v>0</v>
      </c>
      <c r="T382" s="56">
        <v>22</v>
      </c>
      <c r="U382" s="56">
        <v>44</v>
      </c>
      <c r="V382" s="56">
        <v>0</v>
      </c>
      <c r="W382" s="56">
        <v>0</v>
      </c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</row>
    <row r="383" spans="1:39" x14ac:dyDescent="0.4">
      <c r="A383" s="56"/>
      <c r="B383" s="59"/>
      <c r="C383" s="56"/>
      <c r="D383" s="56"/>
      <c r="E383" s="56"/>
      <c r="F383" s="57"/>
      <c r="G383" s="57"/>
      <c r="H383" s="57"/>
      <c r="I383" s="56"/>
      <c r="J383" s="56"/>
      <c r="K383" s="56"/>
      <c r="L383" s="56" t="s">
        <v>770</v>
      </c>
      <c r="M383" s="56">
        <v>16</v>
      </c>
      <c r="N383" s="56">
        <v>1</v>
      </c>
      <c r="O383" s="57">
        <v>16000</v>
      </c>
      <c r="P383" s="56">
        <v>16</v>
      </c>
      <c r="Q383" s="56">
        <v>16</v>
      </c>
      <c r="R383" s="56">
        <v>0</v>
      </c>
      <c r="S383" s="56">
        <v>0</v>
      </c>
      <c r="T383" s="56">
        <v>16</v>
      </c>
      <c r="U383" s="56">
        <v>16</v>
      </c>
      <c r="V383" s="57">
        <v>0</v>
      </c>
      <c r="W383" s="56">
        <v>0</v>
      </c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</row>
    <row r="384" spans="1:39" x14ac:dyDescent="0.4">
      <c r="A384" s="56"/>
      <c r="B384" s="59"/>
      <c r="C384" s="56"/>
      <c r="D384" s="56"/>
      <c r="E384" s="56"/>
      <c r="F384" s="57"/>
      <c r="G384" s="57"/>
      <c r="H384" s="57"/>
      <c r="I384" s="56"/>
      <c r="J384" s="56"/>
      <c r="K384" s="56"/>
      <c r="L384" s="56" t="s">
        <v>555</v>
      </c>
      <c r="M384" s="56"/>
      <c r="N384" s="56"/>
      <c r="O384" s="57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</row>
    <row r="385" spans="1:39" x14ac:dyDescent="0.4">
      <c r="A385" s="56"/>
      <c r="B385" s="59"/>
      <c r="C385" s="56"/>
      <c r="D385" s="56"/>
      <c r="E385" s="56"/>
      <c r="F385" s="57"/>
      <c r="G385" s="57"/>
      <c r="H385" s="57"/>
      <c r="I385" s="56"/>
      <c r="J385" s="56"/>
      <c r="K385" s="56"/>
      <c r="L385" s="56" t="s">
        <v>556</v>
      </c>
      <c r="M385" s="56">
        <v>26</v>
      </c>
      <c r="N385" s="56">
        <v>4</v>
      </c>
      <c r="O385" s="57">
        <v>104000</v>
      </c>
      <c r="P385" s="56">
        <v>26</v>
      </c>
      <c r="Q385" s="56">
        <v>104</v>
      </c>
      <c r="R385" s="56">
        <v>0</v>
      </c>
      <c r="S385" s="56">
        <v>0</v>
      </c>
      <c r="T385" s="56">
        <v>26</v>
      </c>
      <c r="U385" s="56">
        <v>104</v>
      </c>
      <c r="V385" s="57">
        <v>0</v>
      </c>
      <c r="W385" s="56">
        <v>0</v>
      </c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</row>
    <row r="386" spans="1:39" x14ac:dyDescent="0.4">
      <c r="A386" s="56"/>
      <c r="B386" s="59"/>
      <c r="C386" s="56"/>
      <c r="D386" s="56"/>
      <c r="E386" s="56"/>
      <c r="F386" s="57"/>
      <c r="G386" s="57"/>
      <c r="H386" s="57"/>
      <c r="I386" s="56"/>
      <c r="J386" s="56"/>
      <c r="K386" s="56"/>
      <c r="L386" s="56" t="s">
        <v>557</v>
      </c>
      <c r="M386" s="56">
        <v>6</v>
      </c>
      <c r="N386" s="56">
        <v>2</v>
      </c>
      <c r="O386" s="57">
        <v>12000</v>
      </c>
      <c r="P386" s="56">
        <v>6</v>
      </c>
      <c r="Q386" s="56">
        <v>12</v>
      </c>
      <c r="R386" s="56">
        <v>0</v>
      </c>
      <c r="S386" s="56">
        <v>0</v>
      </c>
      <c r="T386" s="56">
        <v>6</v>
      </c>
      <c r="U386" s="56">
        <v>12</v>
      </c>
      <c r="V386" s="57">
        <v>0</v>
      </c>
      <c r="W386" s="56">
        <v>0</v>
      </c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</row>
    <row r="387" spans="1:39" x14ac:dyDescent="0.4">
      <c r="A387" s="56"/>
      <c r="B387" s="59"/>
      <c r="C387" s="56"/>
      <c r="D387" s="56"/>
      <c r="E387" s="56"/>
      <c r="F387" s="57"/>
      <c r="G387" s="57"/>
      <c r="H387" s="57"/>
      <c r="I387" s="56"/>
      <c r="J387" s="56"/>
      <c r="K387" s="56"/>
      <c r="L387" s="56" t="s">
        <v>956</v>
      </c>
      <c r="M387" s="56">
        <v>3</v>
      </c>
      <c r="N387" s="56">
        <v>2</v>
      </c>
      <c r="O387" s="57">
        <v>6000</v>
      </c>
      <c r="P387" s="56">
        <v>3</v>
      </c>
      <c r="Q387" s="56">
        <v>6</v>
      </c>
      <c r="R387" s="56">
        <v>0</v>
      </c>
      <c r="S387" s="56">
        <v>0</v>
      </c>
      <c r="T387" s="56">
        <v>3</v>
      </c>
      <c r="U387" s="56">
        <v>6</v>
      </c>
      <c r="V387" s="57">
        <v>0</v>
      </c>
      <c r="W387" s="56">
        <v>0</v>
      </c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</row>
    <row r="388" spans="1:39" x14ac:dyDescent="0.4">
      <c r="A388" s="56"/>
      <c r="B388" s="59"/>
      <c r="C388" s="56"/>
      <c r="D388" s="56"/>
      <c r="E388" s="56"/>
      <c r="F388" s="57"/>
      <c r="G388" s="57"/>
      <c r="H388" s="57"/>
      <c r="I388" s="56"/>
      <c r="J388" s="56"/>
      <c r="K388" s="56"/>
      <c r="L388" s="56" t="s">
        <v>558</v>
      </c>
      <c r="M388" s="56"/>
      <c r="N388" s="56"/>
      <c r="O388" s="57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</row>
    <row r="389" spans="1:39" x14ac:dyDescent="0.4">
      <c r="A389" s="56"/>
      <c r="B389" s="59"/>
      <c r="C389" s="56"/>
      <c r="D389" s="56"/>
      <c r="E389" s="56"/>
      <c r="F389" s="57"/>
      <c r="G389" s="57"/>
      <c r="H389" s="57"/>
      <c r="I389" s="56"/>
      <c r="J389" s="56"/>
      <c r="K389" s="56"/>
      <c r="L389" s="56" t="s">
        <v>559</v>
      </c>
      <c r="M389" s="56">
        <v>2.7</v>
      </c>
      <c r="N389" s="56">
        <v>5</v>
      </c>
      <c r="O389" s="57">
        <v>13500</v>
      </c>
      <c r="P389" s="56">
        <v>2</v>
      </c>
      <c r="Q389" s="56">
        <v>10</v>
      </c>
      <c r="R389" s="56">
        <v>0.7</v>
      </c>
      <c r="S389" s="56">
        <v>3.5</v>
      </c>
      <c r="T389" s="56">
        <v>2</v>
      </c>
      <c r="U389" s="56">
        <v>10</v>
      </c>
      <c r="V389" s="56">
        <v>0.7</v>
      </c>
      <c r="W389" s="56">
        <v>3.5</v>
      </c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</row>
    <row r="390" spans="1:39" x14ac:dyDescent="0.4">
      <c r="A390" s="56"/>
      <c r="B390" s="59"/>
      <c r="C390" s="56"/>
      <c r="D390" s="56"/>
      <c r="E390" s="56"/>
      <c r="F390" s="57"/>
      <c r="G390" s="57"/>
      <c r="H390" s="57"/>
      <c r="I390" s="56"/>
      <c r="J390" s="56"/>
      <c r="K390" s="56"/>
      <c r="L390" s="56" t="s">
        <v>560</v>
      </c>
      <c r="M390" s="56">
        <v>2.7</v>
      </c>
      <c r="N390" s="56">
        <v>1</v>
      </c>
      <c r="O390" s="57">
        <v>2700</v>
      </c>
      <c r="P390" s="56">
        <v>2</v>
      </c>
      <c r="Q390" s="56">
        <v>2</v>
      </c>
      <c r="R390" s="56">
        <v>0.7</v>
      </c>
      <c r="S390" s="56">
        <v>0.7</v>
      </c>
      <c r="T390" s="56">
        <v>2</v>
      </c>
      <c r="U390" s="56">
        <v>2</v>
      </c>
      <c r="V390" s="57">
        <v>0.7</v>
      </c>
      <c r="W390" s="56">
        <v>0.7</v>
      </c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</row>
    <row r="391" spans="1:39" x14ac:dyDescent="0.4">
      <c r="A391" s="56"/>
      <c r="B391" s="59"/>
      <c r="C391" s="56"/>
      <c r="D391" s="56"/>
      <c r="E391" s="56"/>
      <c r="F391" s="57"/>
      <c r="G391" s="57"/>
      <c r="H391" s="57"/>
      <c r="I391" s="56"/>
      <c r="J391" s="56"/>
      <c r="K391" s="56"/>
      <c r="L391" s="56" t="s">
        <v>957</v>
      </c>
      <c r="M391" s="56">
        <v>50.7</v>
      </c>
      <c r="N391" s="56">
        <v>1</v>
      </c>
      <c r="O391" s="57">
        <v>50700</v>
      </c>
      <c r="P391" s="56">
        <v>45</v>
      </c>
      <c r="Q391" s="56">
        <v>45</v>
      </c>
      <c r="R391" s="56">
        <v>5.7</v>
      </c>
      <c r="S391" s="56">
        <v>5.7</v>
      </c>
      <c r="T391" s="56">
        <v>45</v>
      </c>
      <c r="U391" s="56">
        <v>45</v>
      </c>
      <c r="V391" s="57">
        <v>5.7</v>
      </c>
      <c r="W391" s="56">
        <v>5.7</v>
      </c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</row>
    <row r="392" spans="1:39" x14ac:dyDescent="0.4">
      <c r="A392" s="56"/>
      <c r="B392" s="59"/>
      <c r="C392" s="56"/>
      <c r="D392" s="56"/>
      <c r="E392" s="56"/>
      <c r="F392" s="57"/>
      <c r="G392" s="57"/>
      <c r="H392" s="57"/>
      <c r="I392" s="56"/>
      <c r="J392" s="56"/>
      <c r="K392" s="56"/>
      <c r="L392" s="56" t="s">
        <v>958</v>
      </c>
      <c r="M392" s="56">
        <v>25.1</v>
      </c>
      <c r="N392" s="56">
        <v>1</v>
      </c>
      <c r="O392" s="57">
        <v>25100</v>
      </c>
      <c r="P392" s="56">
        <v>24</v>
      </c>
      <c r="Q392" s="56">
        <v>24</v>
      </c>
      <c r="R392" s="56">
        <v>1.1000000000000001</v>
      </c>
      <c r="S392" s="56">
        <v>1.1000000000000001</v>
      </c>
      <c r="T392" s="56">
        <v>24</v>
      </c>
      <c r="U392" s="56">
        <v>24</v>
      </c>
      <c r="V392" s="57">
        <v>1.1000000000000001</v>
      </c>
      <c r="W392" s="56">
        <v>1.1000000000000001</v>
      </c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</row>
    <row r="393" spans="1:39" x14ac:dyDescent="0.4">
      <c r="A393" s="56"/>
      <c r="B393" s="59"/>
      <c r="C393" s="56"/>
      <c r="D393" s="56"/>
      <c r="E393" s="56"/>
      <c r="F393" s="57"/>
      <c r="G393" s="57"/>
      <c r="H393" s="57"/>
      <c r="I393" s="56"/>
      <c r="J393" s="56"/>
      <c r="K393" s="56"/>
      <c r="L393" s="56" t="s">
        <v>561</v>
      </c>
      <c r="M393" s="56"/>
      <c r="N393" s="56"/>
      <c r="O393" s="57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</row>
    <row r="394" spans="1:39" x14ac:dyDescent="0.4">
      <c r="A394" s="56"/>
      <c r="B394" s="59"/>
      <c r="C394" s="56"/>
      <c r="D394" s="56"/>
      <c r="E394" s="56"/>
      <c r="F394" s="57"/>
      <c r="G394" s="57"/>
      <c r="H394" s="57"/>
      <c r="I394" s="56"/>
      <c r="J394" s="56" t="s">
        <v>243</v>
      </c>
      <c r="K394" s="56"/>
      <c r="L394" s="56" t="s">
        <v>824</v>
      </c>
      <c r="M394" s="56">
        <v>18</v>
      </c>
      <c r="N394" s="56">
        <v>1</v>
      </c>
      <c r="O394" s="57">
        <v>18000</v>
      </c>
      <c r="P394" s="56">
        <v>0.2</v>
      </c>
      <c r="Q394" s="56">
        <v>0.2</v>
      </c>
      <c r="R394" s="56">
        <v>17.8</v>
      </c>
      <c r="S394" s="58">
        <v>17.8</v>
      </c>
      <c r="T394" s="56">
        <v>0.2</v>
      </c>
      <c r="U394" s="56">
        <v>0.2</v>
      </c>
      <c r="V394" s="57">
        <v>17.8</v>
      </c>
      <c r="W394" s="56">
        <v>17.8</v>
      </c>
      <c r="X394" s="56"/>
      <c r="Y394" s="56"/>
      <c r="Z394" s="58"/>
      <c r="AA394" s="56"/>
      <c r="AB394" s="56"/>
      <c r="AC394" s="56"/>
      <c r="AD394" s="58"/>
      <c r="AE394" s="56"/>
      <c r="AF394" s="56"/>
      <c r="AG394" s="56"/>
      <c r="AH394" s="56"/>
      <c r="AI394" s="56"/>
      <c r="AJ394" s="56"/>
      <c r="AK394" s="56"/>
      <c r="AL394" s="56"/>
      <c r="AM394" s="56"/>
    </row>
    <row r="395" spans="1:39" x14ac:dyDescent="0.4">
      <c r="A395" s="56"/>
      <c r="B395" s="59"/>
      <c r="C395" s="56"/>
      <c r="D395" s="56"/>
      <c r="E395" s="56"/>
      <c r="F395" s="57"/>
      <c r="G395" s="57"/>
      <c r="H395" s="57"/>
      <c r="I395" s="56"/>
      <c r="J395" s="56"/>
      <c r="K395" s="56"/>
      <c r="L395" s="56" t="s">
        <v>562</v>
      </c>
      <c r="M395" s="56"/>
      <c r="N395" s="56"/>
      <c r="O395" s="57"/>
      <c r="P395" s="58"/>
      <c r="Q395" s="56"/>
      <c r="R395" s="56"/>
      <c r="S395" s="56"/>
      <c r="T395" s="58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</row>
    <row r="396" spans="1:39" x14ac:dyDescent="0.4">
      <c r="A396" s="56"/>
      <c r="B396" s="59"/>
      <c r="C396" s="56"/>
      <c r="D396" s="56"/>
      <c r="E396" s="56"/>
      <c r="F396" s="57"/>
      <c r="G396" s="57"/>
      <c r="H396" s="57"/>
      <c r="I396" s="56"/>
      <c r="J396" s="56"/>
      <c r="K396" s="56"/>
      <c r="L396" s="56" t="s">
        <v>563</v>
      </c>
      <c r="M396" s="56">
        <v>17</v>
      </c>
      <c r="N396" s="56">
        <v>1</v>
      </c>
      <c r="O396" s="57">
        <v>17000</v>
      </c>
      <c r="P396" s="56">
        <v>0</v>
      </c>
      <c r="Q396" s="56">
        <v>0</v>
      </c>
      <c r="R396" s="56">
        <v>17</v>
      </c>
      <c r="S396" s="56">
        <v>17</v>
      </c>
      <c r="T396" s="56">
        <v>0</v>
      </c>
      <c r="U396" s="56">
        <v>0</v>
      </c>
      <c r="V396" s="56">
        <v>17</v>
      </c>
      <c r="W396" s="56">
        <v>17</v>
      </c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</row>
    <row r="397" spans="1:39" x14ac:dyDescent="0.4">
      <c r="A397" s="56"/>
      <c r="B397" s="59"/>
      <c r="C397" s="56"/>
      <c r="D397" s="56"/>
      <c r="E397" s="56"/>
      <c r="F397" s="57"/>
      <c r="G397" s="57"/>
      <c r="H397" s="57"/>
      <c r="I397" s="56"/>
      <c r="J397" s="56"/>
      <c r="K397" s="56"/>
      <c r="L397" s="56" t="s">
        <v>825</v>
      </c>
      <c r="M397" s="56">
        <v>85</v>
      </c>
      <c r="N397" s="56">
        <v>1</v>
      </c>
      <c r="O397" s="57">
        <v>85000</v>
      </c>
      <c r="P397" s="56">
        <v>0</v>
      </c>
      <c r="Q397" s="56">
        <v>0</v>
      </c>
      <c r="R397" s="56">
        <v>85</v>
      </c>
      <c r="S397" s="56">
        <v>85</v>
      </c>
      <c r="T397" s="56">
        <v>0</v>
      </c>
      <c r="U397" s="56">
        <v>0</v>
      </c>
      <c r="V397" s="56">
        <v>85</v>
      </c>
      <c r="W397" s="56">
        <v>85</v>
      </c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</row>
    <row r="398" spans="1:39" x14ac:dyDescent="0.4">
      <c r="A398" s="56"/>
      <c r="B398" s="59"/>
      <c r="C398" s="56"/>
      <c r="D398" s="56"/>
      <c r="E398" s="56"/>
      <c r="F398" s="57"/>
      <c r="G398" s="57"/>
      <c r="H398" s="57"/>
      <c r="I398" s="56"/>
      <c r="J398" s="56"/>
      <c r="K398" s="56"/>
      <c r="L398" s="56" t="s">
        <v>826</v>
      </c>
      <c r="M398" s="56">
        <v>5</v>
      </c>
      <c r="N398" s="56">
        <v>2</v>
      </c>
      <c r="O398" s="57">
        <v>10000</v>
      </c>
      <c r="P398" s="56">
        <v>0</v>
      </c>
      <c r="Q398" s="56">
        <v>0</v>
      </c>
      <c r="R398" s="56">
        <v>5</v>
      </c>
      <c r="S398" s="56">
        <v>10</v>
      </c>
      <c r="T398" s="56">
        <v>0</v>
      </c>
      <c r="U398" s="56">
        <v>0</v>
      </c>
      <c r="V398" s="57">
        <v>5</v>
      </c>
      <c r="W398" s="56">
        <v>10</v>
      </c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</row>
    <row r="399" spans="1:39" x14ac:dyDescent="0.4">
      <c r="A399" s="56"/>
      <c r="B399" s="59"/>
      <c r="C399" s="56"/>
      <c r="D399" s="56"/>
      <c r="E399" s="56"/>
      <c r="F399" s="57"/>
      <c r="G399" s="57"/>
      <c r="H399" s="57"/>
      <c r="I399" s="56"/>
      <c r="J399" s="56"/>
      <c r="K399" s="56"/>
      <c r="L399" s="56" t="s">
        <v>564</v>
      </c>
      <c r="M399" s="56">
        <v>5</v>
      </c>
      <c r="N399" s="56">
        <v>1</v>
      </c>
      <c r="O399" s="57">
        <v>5000</v>
      </c>
      <c r="P399" s="56">
        <v>5</v>
      </c>
      <c r="Q399" s="56">
        <v>5</v>
      </c>
      <c r="R399" s="56">
        <v>0</v>
      </c>
      <c r="S399" s="56">
        <v>0</v>
      </c>
      <c r="T399" s="56">
        <v>5</v>
      </c>
      <c r="U399" s="56">
        <v>5</v>
      </c>
      <c r="V399" s="57">
        <v>0</v>
      </c>
      <c r="W399" s="56">
        <v>0</v>
      </c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</row>
    <row r="400" spans="1:39" x14ac:dyDescent="0.4">
      <c r="A400" s="56"/>
      <c r="B400" s="59"/>
      <c r="C400" s="56"/>
      <c r="D400" s="56"/>
      <c r="E400" s="56"/>
      <c r="F400" s="57"/>
      <c r="G400" s="57"/>
      <c r="H400" s="57"/>
      <c r="I400" s="56"/>
      <c r="J400" s="56" t="s">
        <v>243</v>
      </c>
      <c r="K400" s="56"/>
      <c r="L400" s="56" t="s">
        <v>565</v>
      </c>
      <c r="M400" s="56">
        <v>18</v>
      </c>
      <c r="N400" s="56">
        <v>6</v>
      </c>
      <c r="O400" s="57">
        <v>108000</v>
      </c>
      <c r="P400" s="56">
        <v>0</v>
      </c>
      <c r="Q400" s="56">
        <v>0</v>
      </c>
      <c r="R400" s="56">
        <v>18</v>
      </c>
      <c r="S400" s="56">
        <v>108</v>
      </c>
      <c r="T400" s="56">
        <v>0</v>
      </c>
      <c r="U400" s="56">
        <v>0</v>
      </c>
      <c r="V400" s="56">
        <v>18</v>
      </c>
      <c r="W400" s="56">
        <v>108</v>
      </c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</row>
    <row r="401" spans="1:39" x14ac:dyDescent="0.4">
      <c r="A401" s="56"/>
      <c r="B401" s="59"/>
      <c r="C401" s="56"/>
      <c r="D401" s="56"/>
      <c r="E401" s="56"/>
      <c r="F401" s="57"/>
      <c r="G401" s="57"/>
      <c r="H401" s="57"/>
      <c r="I401" s="56"/>
      <c r="J401" s="56"/>
      <c r="K401" s="56"/>
      <c r="L401" s="56" t="s">
        <v>566</v>
      </c>
      <c r="M401" s="56">
        <v>108.3</v>
      </c>
      <c r="N401" s="56">
        <v>1</v>
      </c>
      <c r="O401" s="57">
        <v>108300</v>
      </c>
      <c r="P401" s="56">
        <v>0</v>
      </c>
      <c r="Q401" s="56">
        <v>0</v>
      </c>
      <c r="R401" s="56">
        <v>108.3</v>
      </c>
      <c r="S401" s="56">
        <v>108.3</v>
      </c>
      <c r="T401" s="56">
        <v>0</v>
      </c>
      <c r="U401" s="56">
        <v>0</v>
      </c>
      <c r="V401" s="57">
        <v>108.3</v>
      </c>
      <c r="W401" s="56">
        <v>108.3</v>
      </c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</row>
    <row r="402" spans="1:39" x14ac:dyDescent="0.4">
      <c r="A402" s="56"/>
      <c r="B402" s="59"/>
      <c r="C402" s="56"/>
      <c r="D402" s="56"/>
      <c r="E402" s="56"/>
      <c r="F402" s="57"/>
      <c r="G402" s="57"/>
      <c r="H402" s="57"/>
      <c r="I402" s="56"/>
      <c r="J402" s="56"/>
      <c r="K402" s="56" t="s">
        <v>567</v>
      </c>
      <c r="L402" s="56"/>
      <c r="M402" s="56"/>
      <c r="N402" s="56"/>
      <c r="O402" s="57">
        <v>1455600</v>
      </c>
      <c r="P402" s="56"/>
      <c r="Q402" s="56">
        <v>977.3</v>
      </c>
      <c r="R402" s="56"/>
      <c r="S402" s="56">
        <v>478.3</v>
      </c>
      <c r="T402" s="56"/>
      <c r="U402" s="56">
        <v>977.3</v>
      </c>
      <c r="V402" s="56"/>
      <c r="W402" s="56">
        <v>478.3</v>
      </c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</row>
    <row r="403" spans="1:39" x14ac:dyDescent="0.4">
      <c r="A403" s="56"/>
      <c r="B403" s="59"/>
      <c r="C403" s="56"/>
      <c r="D403" s="56"/>
      <c r="E403" s="56"/>
      <c r="F403" s="57"/>
      <c r="G403" s="57"/>
      <c r="H403" s="57"/>
      <c r="I403" s="56"/>
      <c r="J403" s="56"/>
      <c r="K403" s="56" t="s">
        <v>568</v>
      </c>
      <c r="L403" s="56"/>
      <c r="M403" s="56"/>
      <c r="N403" s="56"/>
      <c r="O403" s="57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</row>
    <row r="404" spans="1:39" x14ac:dyDescent="0.4">
      <c r="A404" s="56"/>
      <c r="B404" s="59"/>
      <c r="C404" s="56"/>
      <c r="D404" s="56"/>
      <c r="E404" s="56"/>
      <c r="F404" s="57"/>
      <c r="G404" s="57"/>
      <c r="H404" s="57"/>
      <c r="I404" s="56"/>
      <c r="J404" s="56"/>
      <c r="K404" s="56" t="s">
        <v>569</v>
      </c>
      <c r="L404" s="56"/>
      <c r="M404" s="56"/>
      <c r="N404" s="56"/>
      <c r="O404" s="57">
        <v>0</v>
      </c>
      <c r="P404" s="56"/>
      <c r="Q404" s="56">
        <v>0</v>
      </c>
      <c r="R404" s="56"/>
      <c r="S404" s="56">
        <v>0</v>
      </c>
      <c r="T404" s="56"/>
      <c r="U404" s="56">
        <v>0</v>
      </c>
      <c r="V404" s="56"/>
      <c r="W404" s="56">
        <v>0</v>
      </c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</row>
    <row r="405" spans="1:39" x14ac:dyDescent="0.4">
      <c r="A405" s="56"/>
      <c r="B405" s="59"/>
      <c r="C405" s="56"/>
      <c r="D405" s="56"/>
      <c r="E405" s="56"/>
      <c r="F405" s="57"/>
      <c r="G405" s="57"/>
      <c r="H405" s="57"/>
      <c r="I405" s="56"/>
      <c r="J405" s="56"/>
      <c r="K405" s="56" t="s">
        <v>570</v>
      </c>
      <c r="L405" s="56"/>
      <c r="M405" s="56"/>
      <c r="N405" s="56"/>
      <c r="O405" s="57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</row>
    <row r="406" spans="1:39" x14ac:dyDescent="0.4">
      <c r="A406" s="56"/>
      <c r="B406" s="59"/>
      <c r="C406" s="56"/>
      <c r="D406" s="56"/>
      <c r="E406" s="56"/>
      <c r="F406" s="57"/>
      <c r="G406" s="57"/>
      <c r="H406" s="57"/>
      <c r="I406" s="56"/>
      <c r="J406" s="56"/>
      <c r="K406" s="56" t="s">
        <v>571</v>
      </c>
      <c r="L406" s="56"/>
      <c r="M406" s="56"/>
      <c r="N406" s="56"/>
      <c r="O406" s="57">
        <v>0</v>
      </c>
      <c r="P406" s="56"/>
      <c r="Q406" s="56">
        <v>0</v>
      </c>
      <c r="R406" s="56"/>
      <c r="S406" s="56">
        <v>0</v>
      </c>
      <c r="T406" s="56"/>
      <c r="U406" s="56">
        <v>0</v>
      </c>
      <c r="V406" s="56"/>
      <c r="W406" s="56">
        <v>0</v>
      </c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</row>
    <row r="407" spans="1:39" x14ac:dyDescent="0.4">
      <c r="A407" s="56"/>
      <c r="B407" s="59"/>
      <c r="C407" s="56"/>
      <c r="D407" s="56"/>
      <c r="E407" s="56"/>
      <c r="F407" s="57"/>
      <c r="G407" s="57"/>
      <c r="H407" s="57"/>
      <c r="I407" s="56"/>
      <c r="J407" s="56"/>
      <c r="K407" s="56" t="s">
        <v>572</v>
      </c>
      <c r="L407" s="56"/>
      <c r="M407" s="56"/>
      <c r="N407" s="56"/>
      <c r="O407" s="57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</row>
    <row r="408" spans="1:39" x14ac:dyDescent="0.4">
      <c r="A408" s="56"/>
      <c r="B408" s="59"/>
      <c r="C408" s="56"/>
      <c r="D408" s="56"/>
      <c r="E408" s="56"/>
      <c r="F408" s="57"/>
      <c r="G408" s="57"/>
      <c r="H408" s="57"/>
      <c r="I408" s="56"/>
      <c r="J408" s="56"/>
      <c r="K408" s="56" t="s">
        <v>573</v>
      </c>
      <c r="L408" s="56"/>
      <c r="M408" s="56"/>
      <c r="N408" s="56"/>
      <c r="O408" s="57">
        <v>0</v>
      </c>
      <c r="P408" s="56"/>
      <c r="Q408" s="56">
        <v>0</v>
      </c>
      <c r="R408" s="56"/>
      <c r="S408" s="56">
        <v>0</v>
      </c>
      <c r="T408" s="56"/>
      <c r="U408" s="56">
        <v>0</v>
      </c>
      <c r="V408" s="56"/>
      <c r="W408" s="56">
        <v>0</v>
      </c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</row>
    <row r="409" spans="1:39" x14ac:dyDescent="0.4">
      <c r="A409" s="56"/>
      <c r="B409" s="59"/>
      <c r="C409" s="56"/>
      <c r="D409" s="56"/>
      <c r="E409" s="56"/>
      <c r="F409" s="57"/>
      <c r="G409" s="57"/>
      <c r="H409" s="57"/>
      <c r="I409" s="56"/>
      <c r="J409" s="56"/>
      <c r="K409" s="56" t="s">
        <v>574</v>
      </c>
      <c r="L409" s="56"/>
      <c r="M409" s="56"/>
      <c r="N409" s="56"/>
      <c r="O409" s="57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</row>
    <row r="410" spans="1:39" x14ac:dyDescent="0.4">
      <c r="A410" s="56"/>
      <c r="B410" s="59"/>
      <c r="C410" s="56"/>
      <c r="D410" s="56"/>
      <c r="E410" s="56"/>
      <c r="F410" s="57"/>
      <c r="G410" s="57"/>
      <c r="H410" s="57"/>
      <c r="I410" s="56"/>
      <c r="J410" s="56"/>
      <c r="K410" s="56" t="s">
        <v>575</v>
      </c>
      <c r="L410" s="56"/>
      <c r="M410" s="56"/>
      <c r="N410" s="56"/>
      <c r="O410" s="57">
        <v>0</v>
      </c>
      <c r="P410" s="56"/>
      <c r="Q410" s="56">
        <v>0</v>
      </c>
      <c r="R410" s="56"/>
      <c r="S410" s="56">
        <v>0</v>
      </c>
      <c r="T410" s="56"/>
      <c r="U410" s="56">
        <v>0</v>
      </c>
      <c r="V410" s="56"/>
      <c r="W410" s="56">
        <v>0</v>
      </c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</row>
    <row r="411" spans="1:39" x14ac:dyDescent="0.4">
      <c r="A411" s="56"/>
      <c r="B411" s="59"/>
      <c r="C411" s="56"/>
      <c r="D411" s="56"/>
      <c r="E411" s="56"/>
      <c r="F411" s="57"/>
      <c r="G411" s="57"/>
      <c r="H411" s="57"/>
      <c r="I411" s="56"/>
      <c r="J411" s="56"/>
      <c r="K411" s="56" t="s">
        <v>576</v>
      </c>
      <c r="L411" s="56"/>
      <c r="M411" s="56"/>
      <c r="N411" s="56"/>
      <c r="O411" s="57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</row>
    <row r="412" spans="1:39" x14ac:dyDescent="0.4">
      <c r="A412" s="56"/>
      <c r="B412" s="59"/>
      <c r="C412" s="56"/>
      <c r="D412" s="56"/>
      <c r="E412" s="56"/>
      <c r="F412" s="57"/>
      <c r="G412" s="57"/>
      <c r="H412" s="57"/>
      <c r="I412" s="56"/>
      <c r="J412" s="56"/>
      <c r="K412" s="56"/>
      <c r="L412" s="56" t="s">
        <v>959</v>
      </c>
      <c r="M412" s="56"/>
      <c r="N412" s="56"/>
      <c r="O412" s="57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</row>
    <row r="413" spans="1:39" x14ac:dyDescent="0.4">
      <c r="A413" s="56"/>
      <c r="B413" s="59"/>
      <c r="C413" s="56"/>
      <c r="D413" s="56"/>
      <c r="E413" s="56"/>
      <c r="F413" s="57"/>
      <c r="G413" s="57"/>
      <c r="H413" s="57"/>
      <c r="I413" s="56"/>
      <c r="J413" s="56"/>
      <c r="K413" s="56"/>
      <c r="L413" s="56" t="s">
        <v>960</v>
      </c>
      <c r="M413" s="56">
        <v>257.60000000000002</v>
      </c>
      <c r="N413" s="56">
        <v>1</v>
      </c>
      <c r="O413" s="57">
        <v>257600</v>
      </c>
      <c r="P413" s="56">
        <v>196.6</v>
      </c>
      <c r="Q413" s="56">
        <v>196.6</v>
      </c>
      <c r="R413" s="56">
        <v>61</v>
      </c>
      <c r="S413" s="56">
        <v>61</v>
      </c>
      <c r="T413" s="56">
        <v>259.60000000000002</v>
      </c>
      <c r="U413" s="56">
        <v>259.60000000000002</v>
      </c>
      <c r="V413" s="57">
        <v>61</v>
      </c>
      <c r="W413" s="56">
        <v>61</v>
      </c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</row>
    <row r="414" spans="1:39" x14ac:dyDescent="0.4">
      <c r="A414" s="56"/>
      <c r="B414" s="59"/>
      <c r="C414" s="56"/>
      <c r="D414" s="56"/>
      <c r="E414" s="56"/>
      <c r="F414" s="57"/>
      <c r="G414" s="57"/>
      <c r="H414" s="57"/>
      <c r="I414" s="56"/>
      <c r="J414" s="56"/>
      <c r="K414" s="56"/>
      <c r="L414" s="56" t="s">
        <v>961</v>
      </c>
      <c r="M414" s="56">
        <v>8.6</v>
      </c>
      <c r="N414" s="56">
        <v>4</v>
      </c>
      <c r="O414" s="57">
        <v>34400</v>
      </c>
      <c r="P414" s="56">
        <v>5.2</v>
      </c>
      <c r="Q414" s="56">
        <v>20.8</v>
      </c>
      <c r="R414" s="56">
        <v>3.4</v>
      </c>
      <c r="S414" s="56">
        <v>13.6</v>
      </c>
      <c r="T414" s="56">
        <v>8.1999999999999993</v>
      </c>
      <c r="U414" s="56">
        <v>32.799999999999997</v>
      </c>
      <c r="V414" s="57">
        <v>3.4</v>
      </c>
      <c r="W414" s="56">
        <v>13.6</v>
      </c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</row>
    <row r="415" spans="1:39" x14ac:dyDescent="0.4">
      <c r="A415" s="56"/>
      <c r="B415" s="59"/>
      <c r="C415" s="56"/>
      <c r="D415" s="56"/>
      <c r="E415" s="56"/>
      <c r="F415" s="57"/>
      <c r="G415" s="57"/>
      <c r="H415" s="57"/>
      <c r="I415" s="56"/>
      <c r="J415" s="56"/>
      <c r="K415" s="56" t="s">
        <v>577</v>
      </c>
      <c r="L415" s="56"/>
      <c r="M415" s="56"/>
      <c r="N415" s="56"/>
      <c r="O415" s="57">
        <v>292000</v>
      </c>
      <c r="P415" s="56"/>
      <c r="Q415" s="56">
        <v>217.4</v>
      </c>
      <c r="R415" s="56"/>
      <c r="S415" s="56">
        <v>74.599999999999994</v>
      </c>
      <c r="T415" s="56"/>
      <c r="U415" s="56">
        <v>292.39999999999998</v>
      </c>
      <c r="V415" s="56"/>
      <c r="W415" s="56">
        <v>74.599999999999994</v>
      </c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</row>
    <row r="416" spans="1:39" x14ac:dyDescent="0.4">
      <c r="A416" s="56"/>
      <c r="B416" s="59"/>
      <c r="C416" s="56"/>
      <c r="D416" s="56"/>
      <c r="E416" s="56"/>
      <c r="F416" s="57"/>
      <c r="G416" s="57"/>
      <c r="H416" s="57"/>
      <c r="I416" s="56"/>
      <c r="J416" s="56"/>
      <c r="K416" s="56" t="s">
        <v>578</v>
      </c>
      <c r="L416" s="56"/>
      <c r="M416" s="56"/>
      <c r="N416" s="56"/>
      <c r="O416" s="57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</row>
    <row r="417" spans="1:39" x14ac:dyDescent="0.4">
      <c r="A417" s="56"/>
      <c r="B417" s="59"/>
      <c r="C417" s="56"/>
      <c r="D417" s="56"/>
      <c r="E417" s="56"/>
      <c r="F417" s="57"/>
      <c r="G417" s="57"/>
      <c r="H417" s="57"/>
      <c r="I417" s="56"/>
      <c r="J417" s="56"/>
      <c r="K417" s="56"/>
      <c r="L417" s="56" t="s">
        <v>962</v>
      </c>
      <c r="M417" s="56"/>
      <c r="N417" s="56"/>
      <c r="O417" s="57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</row>
    <row r="418" spans="1:39" x14ac:dyDescent="0.4">
      <c r="A418" s="56"/>
      <c r="B418" s="59"/>
      <c r="C418" s="56"/>
      <c r="D418" s="56"/>
      <c r="E418" s="56"/>
      <c r="F418" s="57"/>
      <c r="G418" s="57"/>
      <c r="H418" s="57"/>
      <c r="I418" s="56"/>
      <c r="J418" s="56"/>
      <c r="K418" s="56"/>
      <c r="L418" s="56" t="s">
        <v>963</v>
      </c>
      <c r="M418" s="56">
        <v>538.29999999999995</v>
      </c>
      <c r="N418" s="56">
        <v>1</v>
      </c>
      <c r="O418" s="57">
        <v>538300</v>
      </c>
      <c r="P418" s="56">
        <v>403.6</v>
      </c>
      <c r="Q418" s="56">
        <v>403.6</v>
      </c>
      <c r="R418" s="56">
        <v>134.69999999999999</v>
      </c>
      <c r="S418" s="56">
        <v>134.69999999999999</v>
      </c>
      <c r="T418" s="56">
        <v>403.7</v>
      </c>
      <c r="U418" s="56">
        <v>403.7</v>
      </c>
      <c r="V418" s="56">
        <v>134.69999999999999</v>
      </c>
      <c r="W418" s="56">
        <v>134.69999999999999</v>
      </c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</row>
    <row r="419" spans="1:39" x14ac:dyDescent="0.4">
      <c r="A419" s="56"/>
      <c r="B419" s="59"/>
      <c r="C419" s="56"/>
      <c r="D419" s="56"/>
      <c r="E419" s="56"/>
      <c r="F419" s="57"/>
      <c r="G419" s="57"/>
      <c r="H419" s="57"/>
      <c r="I419" s="56"/>
      <c r="J419" s="56"/>
      <c r="K419" s="56"/>
      <c r="L419" s="56" t="s">
        <v>579</v>
      </c>
      <c r="M419" s="56"/>
      <c r="N419" s="56"/>
      <c r="O419" s="57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</row>
    <row r="420" spans="1:39" x14ac:dyDescent="0.4">
      <c r="A420" s="56"/>
      <c r="B420" s="59"/>
      <c r="C420" s="56"/>
      <c r="D420" s="56"/>
      <c r="E420" s="56"/>
      <c r="F420" s="57"/>
      <c r="G420" s="57"/>
      <c r="H420" s="57"/>
      <c r="I420" s="56"/>
      <c r="J420" s="56"/>
      <c r="K420" s="56"/>
      <c r="L420" s="56" t="s">
        <v>964</v>
      </c>
      <c r="M420" s="56">
        <v>8.6999999999999993</v>
      </c>
      <c r="N420" s="56">
        <v>1</v>
      </c>
      <c r="O420" s="57">
        <v>8700</v>
      </c>
      <c r="P420" s="56">
        <v>7</v>
      </c>
      <c r="Q420" s="56">
        <v>7</v>
      </c>
      <c r="R420" s="56">
        <v>1.7</v>
      </c>
      <c r="S420" s="56">
        <v>1.7</v>
      </c>
      <c r="T420" s="56">
        <v>11</v>
      </c>
      <c r="U420" s="56">
        <v>11</v>
      </c>
      <c r="V420" s="57">
        <v>1.7</v>
      </c>
      <c r="W420" s="56">
        <v>1.7</v>
      </c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</row>
    <row r="421" spans="1:39" x14ac:dyDescent="0.4">
      <c r="A421" s="56"/>
      <c r="B421" s="59"/>
      <c r="C421" s="56"/>
      <c r="D421" s="56"/>
      <c r="E421" s="56"/>
      <c r="F421" s="57"/>
      <c r="G421" s="57"/>
      <c r="H421" s="57"/>
      <c r="I421" s="56"/>
      <c r="J421" s="56"/>
      <c r="K421" s="56"/>
      <c r="L421" s="56" t="s">
        <v>965</v>
      </c>
      <c r="M421" s="56">
        <v>3.9</v>
      </c>
      <c r="N421" s="56">
        <v>6</v>
      </c>
      <c r="O421" s="57">
        <v>23400</v>
      </c>
      <c r="P421" s="56">
        <v>2.9</v>
      </c>
      <c r="Q421" s="56">
        <v>17.399999999999999</v>
      </c>
      <c r="R421" s="56">
        <v>1</v>
      </c>
      <c r="S421" s="56">
        <v>6</v>
      </c>
      <c r="T421" s="56">
        <v>4.4000000000000004</v>
      </c>
      <c r="U421" s="56">
        <v>26.4</v>
      </c>
      <c r="V421" s="56">
        <v>1</v>
      </c>
      <c r="W421" s="56">
        <v>6</v>
      </c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</row>
    <row r="422" spans="1:39" x14ac:dyDescent="0.4">
      <c r="A422" s="56"/>
      <c r="B422" s="59"/>
      <c r="C422" s="56"/>
      <c r="D422" s="56"/>
      <c r="E422" s="56"/>
      <c r="F422" s="57"/>
      <c r="G422" s="57"/>
      <c r="H422" s="57"/>
      <c r="I422" s="56"/>
      <c r="J422" s="56"/>
      <c r="K422" s="56"/>
      <c r="L422" s="56" t="s">
        <v>966</v>
      </c>
      <c r="M422" s="56">
        <v>6.3</v>
      </c>
      <c r="N422" s="56">
        <v>4</v>
      </c>
      <c r="O422" s="57">
        <v>25200</v>
      </c>
      <c r="P422" s="56">
        <v>4.0999999999999996</v>
      </c>
      <c r="Q422" s="56">
        <v>16.399999999999999</v>
      </c>
      <c r="R422" s="56">
        <v>2.2000000000000002</v>
      </c>
      <c r="S422" s="56">
        <v>8.8000000000000007</v>
      </c>
      <c r="T422" s="56">
        <v>5.7</v>
      </c>
      <c r="U422" s="56">
        <v>22.8</v>
      </c>
      <c r="V422" s="57">
        <v>2.2000000000000002</v>
      </c>
      <c r="W422" s="56">
        <v>8.8000000000000007</v>
      </c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</row>
    <row r="423" spans="1:39" x14ac:dyDescent="0.4">
      <c r="A423" s="56"/>
      <c r="B423" s="59"/>
      <c r="C423" s="56"/>
      <c r="D423" s="56"/>
      <c r="E423" s="56"/>
      <c r="F423" s="57"/>
      <c r="G423" s="57"/>
      <c r="H423" s="57"/>
      <c r="I423" s="56"/>
      <c r="J423" s="56"/>
      <c r="K423" s="56"/>
      <c r="L423" s="56" t="s">
        <v>967</v>
      </c>
      <c r="M423" s="56">
        <v>6.2</v>
      </c>
      <c r="N423" s="56">
        <v>5</v>
      </c>
      <c r="O423" s="57">
        <v>31000</v>
      </c>
      <c r="P423" s="56">
        <v>3.7</v>
      </c>
      <c r="Q423" s="56">
        <v>18.5</v>
      </c>
      <c r="R423" s="56">
        <v>2.5</v>
      </c>
      <c r="S423" s="56">
        <v>12.5</v>
      </c>
      <c r="T423" s="56">
        <v>5.7</v>
      </c>
      <c r="U423" s="56">
        <v>28.5</v>
      </c>
      <c r="V423" s="56">
        <v>2.5</v>
      </c>
      <c r="W423" s="56">
        <v>12.5</v>
      </c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</row>
    <row r="424" spans="1:39" x14ac:dyDescent="0.4">
      <c r="A424" s="56"/>
      <c r="B424" s="59"/>
      <c r="C424" s="56"/>
      <c r="D424" s="56"/>
      <c r="E424" s="56"/>
      <c r="F424" s="57"/>
      <c r="G424" s="57"/>
      <c r="H424" s="57"/>
      <c r="I424" s="56"/>
      <c r="J424" s="56"/>
      <c r="K424" s="56"/>
      <c r="L424" s="56" t="s">
        <v>968</v>
      </c>
      <c r="M424" s="56">
        <v>1.9</v>
      </c>
      <c r="N424" s="56">
        <v>1</v>
      </c>
      <c r="O424" s="57">
        <v>1900</v>
      </c>
      <c r="P424" s="56">
        <v>0</v>
      </c>
      <c r="Q424" s="56">
        <v>0</v>
      </c>
      <c r="R424" s="56">
        <v>1.9</v>
      </c>
      <c r="S424" s="56">
        <v>1.9</v>
      </c>
      <c r="T424" s="56">
        <v>0</v>
      </c>
      <c r="U424" s="56">
        <v>0</v>
      </c>
      <c r="V424" s="56">
        <v>1.9</v>
      </c>
      <c r="W424" s="56">
        <v>1.9</v>
      </c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</row>
    <row r="425" spans="1:39" x14ac:dyDescent="0.4">
      <c r="A425" s="56"/>
      <c r="B425" s="59"/>
      <c r="C425" s="56"/>
      <c r="D425" s="56"/>
      <c r="E425" s="56"/>
      <c r="F425" s="57"/>
      <c r="G425" s="57"/>
      <c r="H425" s="57"/>
      <c r="I425" s="56"/>
      <c r="J425" s="56"/>
      <c r="K425" s="56"/>
      <c r="L425" s="56" t="s">
        <v>969</v>
      </c>
      <c r="M425" s="56">
        <v>10.9</v>
      </c>
      <c r="N425" s="56">
        <v>1</v>
      </c>
      <c r="O425" s="57">
        <v>10900</v>
      </c>
      <c r="P425" s="56">
        <v>10.9</v>
      </c>
      <c r="Q425" s="56">
        <v>10.9</v>
      </c>
      <c r="R425" s="56">
        <v>0</v>
      </c>
      <c r="S425" s="56">
        <v>0</v>
      </c>
      <c r="T425" s="56">
        <v>16</v>
      </c>
      <c r="U425" s="56">
        <v>16</v>
      </c>
      <c r="V425" s="57">
        <v>0</v>
      </c>
      <c r="W425" s="56">
        <v>0</v>
      </c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</row>
    <row r="426" spans="1:39" x14ac:dyDescent="0.4">
      <c r="A426" s="56"/>
      <c r="B426" s="59"/>
      <c r="C426" s="56"/>
      <c r="D426" s="56"/>
      <c r="E426" s="56"/>
      <c r="F426" s="57"/>
      <c r="G426" s="57"/>
      <c r="H426" s="57"/>
      <c r="I426" s="56"/>
      <c r="J426" s="56"/>
      <c r="K426" s="56"/>
      <c r="L426" s="56" t="s">
        <v>970</v>
      </c>
      <c r="M426" s="56">
        <v>24.9</v>
      </c>
      <c r="N426" s="56">
        <v>1</v>
      </c>
      <c r="O426" s="57">
        <v>24900</v>
      </c>
      <c r="P426" s="56">
        <v>22.5</v>
      </c>
      <c r="Q426" s="56">
        <v>22.5</v>
      </c>
      <c r="R426" s="56">
        <v>2.4</v>
      </c>
      <c r="S426" s="56">
        <v>2.4</v>
      </c>
      <c r="T426" s="56">
        <v>33</v>
      </c>
      <c r="U426" s="56">
        <v>33</v>
      </c>
      <c r="V426" s="56">
        <v>2.4</v>
      </c>
      <c r="W426" s="56">
        <v>2.4</v>
      </c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</row>
    <row r="427" spans="1:39" x14ac:dyDescent="0.4">
      <c r="A427" s="56"/>
      <c r="B427" s="59"/>
      <c r="C427" s="56"/>
      <c r="D427" s="56"/>
      <c r="E427" s="56"/>
      <c r="F427" s="57"/>
      <c r="G427" s="57"/>
      <c r="H427" s="57"/>
      <c r="I427" s="56"/>
      <c r="J427" s="56"/>
      <c r="K427" s="56"/>
      <c r="L427" s="56" t="s">
        <v>580</v>
      </c>
      <c r="M427" s="56">
        <v>0</v>
      </c>
      <c r="N427" s="56">
        <v>13</v>
      </c>
      <c r="O427" s="57">
        <v>0</v>
      </c>
      <c r="P427" s="56">
        <v>0.6</v>
      </c>
      <c r="Q427" s="56">
        <v>7.8</v>
      </c>
      <c r="R427" s="56">
        <v>-0.6</v>
      </c>
      <c r="S427" s="56">
        <v>-7.8</v>
      </c>
      <c r="T427" s="56">
        <v>0.6</v>
      </c>
      <c r="U427" s="56">
        <v>7.8</v>
      </c>
      <c r="V427" s="57">
        <v>-0.6</v>
      </c>
      <c r="W427" s="56">
        <v>-7.8</v>
      </c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</row>
    <row r="428" spans="1:39" x14ac:dyDescent="0.4">
      <c r="A428" s="56"/>
      <c r="B428" s="59"/>
      <c r="C428" s="56"/>
      <c r="D428" s="56"/>
      <c r="E428" s="56"/>
      <c r="F428" s="57"/>
      <c r="G428" s="57"/>
      <c r="H428" s="57"/>
      <c r="I428" s="56"/>
      <c r="J428" s="56"/>
      <c r="K428" s="56"/>
      <c r="L428" s="56" t="s">
        <v>971</v>
      </c>
      <c r="M428" s="56">
        <v>0.9</v>
      </c>
      <c r="N428" s="56">
        <v>4</v>
      </c>
      <c r="O428" s="57">
        <v>3600</v>
      </c>
      <c r="P428" s="56">
        <v>0.9</v>
      </c>
      <c r="Q428" s="56">
        <v>3.6</v>
      </c>
      <c r="R428" s="56">
        <v>0</v>
      </c>
      <c r="S428" s="56">
        <v>0</v>
      </c>
      <c r="T428" s="56">
        <v>0.9</v>
      </c>
      <c r="U428" s="56">
        <v>3.6</v>
      </c>
      <c r="V428" s="57">
        <v>0</v>
      </c>
      <c r="W428" s="56">
        <v>0</v>
      </c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</row>
    <row r="429" spans="1:39" x14ac:dyDescent="0.4">
      <c r="A429" s="56"/>
      <c r="B429" s="59"/>
      <c r="C429" s="56"/>
      <c r="D429" s="56"/>
      <c r="E429" s="56"/>
      <c r="F429" s="57"/>
      <c r="G429" s="57"/>
      <c r="H429" s="57"/>
      <c r="I429" s="56"/>
      <c r="J429" s="56"/>
      <c r="K429" s="56"/>
      <c r="L429" s="56" t="s">
        <v>972</v>
      </c>
      <c r="M429" s="56"/>
      <c r="N429" s="56"/>
      <c r="O429" s="57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</row>
    <row r="430" spans="1:39" x14ac:dyDescent="0.4">
      <c r="A430" s="56"/>
      <c r="B430" s="59"/>
      <c r="C430" s="56"/>
      <c r="D430" s="56"/>
      <c r="E430" s="56"/>
      <c r="F430" s="57"/>
      <c r="G430" s="57"/>
      <c r="H430" s="57"/>
      <c r="I430" s="56"/>
      <c r="J430" s="56"/>
      <c r="K430" s="56"/>
      <c r="L430" s="56" t="s">
        <v>973</v>
      </c>
      <c r="M430" s="56">
        <v>70</v>
      </c>
      <c r="N430" s="56">
        <v>1</v>
      </c>
      <c r="O430" s="57">
        <v>70000</v>
      </c>
      <c r="P430" s="56">
        <v>0</v>
      </c>
      <c r="Q430" s="56">
        <v>0</v>
      </c>
      <c r="R430" s="56">
        <v>70</v>
      </c>
      <c r="S430" s="56">
        <v>70</v>
      </c>
      <c r="T430" s="56">
        <v>0</v>
      </c>
      <c r="U430" s="56">
        <v>0</v>
      </c>
      <c r="V430" s="57">
        <v>70</v>
      </c>
      <c r="W430" s="56">
        <v>70</v>
      </c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</row>
    <row r="431" spans="1:39" x14ac:dyDescent="0.4">
      <c r="A431" s="56"/>
      <c r="B431" s="59"/>
      <c r="C431" s="56"/>
      <c r="D431" s="56"/>
      <c r="E431" s="56"/>
      <c r="F431" s="57"/>
      <c r="G431" s="57"/>
      <c r="H431" s="57"/>
      <c r="I431" s="56"/>
      <c r="J431" s="56"/>
      <c r="K431" s="56"/>
      <c r="L431" s="56" t="s">
        <v>841</v>
      </c>
      <c r="M431" s="56">
        <v>6</v>
      </c>
      <c r="N431" s="56">
        <v>1</v>
      </c>
      <c r="O431" s="57">
        <v>6000</v>
      </c>
      <c r="P431" s="56">
        <v>0</v>
      </c>
      <c r="Q431" s="56">
        <v>0</v>
      </c>
      <c r="R431" s="56">
        <v>6</v>
      </c>
      <c r="S431" s="56">
        <v>6</v>
      </c>
      <c r="T431" s="56">
        <v>0</v>
      </c>
      <c r="U431" s="56">
        <v>0</v>
      </c>
      <c r="V431" s="57">
        <v>6</v>
      </c>
      <c r="W431" s="56">
        <v>6</v>
      </c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</row>
    <row r="432" spans="1:39" x14ac:dyDescent="0.4">
      <c r="A432" s="56"/>
      <c r="B432" s="59"/>
      <c r="C432" s="56"/>
      <c r="D432" s="56"/>
      <c r="E432" s="56"/>
      <c r="F432" s="57"/>
      <c r="G432" s="57"/>
      <c r="H432" s="57"/>
      <c r="I432" s="56"/>
      <c r="J432" s="56"/>
      <c r="K432" s="56"/>
      <c r="L432" s="56" t="s">
        <v>974</v>
      </c>
      <c r="M432" s="56">
        <v>17.2</v>
      </c>
      <c r="N432" s="56">
        <v>1</v>
      </c>
      <c r="O432" s="57">
        <v>17200</v>
      </c>
      <c r="P432" s="56">
        <v>0</v>
      </c>
      <c r="Q432" s="56">
        <v>0</v>
      </c>
      <c r="R432" s="56">
        <v>17.2</v>
      </c>
      <c r="S432" s="56">
        <v>17.2</v>
      </c>
      <c r="T432" s="56">
        <v>0</v>
      </c>
      <c r="U432" s="56">
        <v>0</v>
      </c>
      <c r="V432" s="57">
        <v>17.2</v>
      </c>
      <c r="W432" s="56">
        <v>17.2</v>
      </c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</row>
    <row r="433" spans="1:35" x14ac:dyDescent="0.4">
      <c r="A433" s="56"/>
      <c r="B433" s="59"/>
      <c r="C433" s="56"/>
      <c r="D433" s="56"/>
      <c r="E433" s="56"/>
      <c r="F433" s="57"/>
      <c r="G433" s="57"/>
      <c r="H433" s="57"/>
      <c r="I433" s="56"/>
      <c r="J433" s="56"/>
      <c r="K433" s="56" t="s">
        <v>581</v>
      </c>
      <c r="L433" s="56"/>
      <c r="M433" s="56"/>
      <c r="N433" s="56"/>
      <c r="O433" s="57">
        <v>761100</v>
      </c>
      <c r="P433" s="56"/>
      <c r="Q433" s="56">
        <v>507.7</v>
      </c>
      <c r="R433" s="56"/>
      <c r="S433" s="56">
        <v>253.4</v>
      </c>
      <c r="T433" s="56"/>
      <c r="U433" s="56">
        <v>552.79999999999995</v>
      </c>
      <c r="V433" s="56"/>
      <c r="W433" s="56">
        <v>253.4</v>
      </c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</row>
    <row r="434" spans="1:35" x14ac:dyDescent="0.4">
      <c r="A434" s="56"/>
      <c r="B434" s="59"/>
      <c r="C434" s="56"/>
      <c r="D434" s="56"/>
      <c r="E434" s="56"/>
      <c r="F434" s="57"/>
      <c r="G434" s="57"/>
      <c r="H434" s="57"/>
      <c r="I434" s="56"/>
      <c r="J434" s="56"/>
      <c r="K434" s="56" t="s">
        <v>582</v>
      </c>
      <c r="L434" s="56"/>
      <c r="M434" s="56"/>
      <c r="N434" s="56"/>
      <c r="O434" s="57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</row>
    <row r="435" spans="1:35" x14ac:dyDescent="0.4">
      <c r="A435" s="56"/>
      <c r="B435" s="59"/>
      <c r="C435" s="56"/>
      <c r="D435" s="56"/>
      <c r="E435" s="56"/>
      <c r="F435" s="57"/>
      <c r="G435" s="57"/>
      <c r="H435" s="57"/>
      <c r="I435" s="56"/>
      <c r="J435" s="56"/>
      <c r="K435" s="56" t="s">
        <v>583</v>
      </c>
      <c r="L435" s="56"/>
      <c r="M435" s="56"/>
      <c r="N435" s="56"/>
      <c r="O435" s="57">
        <v>0</v>
      </c>
      <c r="P435" s="56"/>
      <c r="Q435" s="56">
        <v>0</v>
      </c>
      <c r="R435" s="56"/>
      <c r="S435" s="56">
        <v>0</v>
      </c>
      <c r="T435" s="56"/>
      <c r="U435" s="56">
        <v>0</v>
      </c>
      <c r="V435" s="56"/>
      <c r="W435" s="56">
        <v>0</v>
      </c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</row>
    <row r="436" spans="1:35" x14ac:dyDescent="0.4">
      <c r="A436" s="56"/>
      <c r="B436" s="59"/>
      <c r="C436" s="56"/>
      <c r="D436" s="56"/>
      <c r="E436" s="56"/>
      <c r="F436" s="57"/>
      <c r="G436" s="57"/>
      <c r="H436" s="57"/>
      <c r="I436" s="56"/>
      <c r="J436" s="56"/>
      <c r="K436" s="56" t="s">
        <v>584</v>
      </c>
      <c r="L436" s="56"/>
      <c r="M436" s="56"/>
      <c r="N436" s="56"/>
      <c r="O436" s="57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</row>
    <row r="437" spans="1:35" x14ac:dyDescent="0.4">
      <c r="A437" s="56"/>
      <c r="B437" s="59"/>
      <c r="C437" s="56"/>
      <c r="D437" s="56"/>
      <c r="E437" s="56"/>
      <c r="F437" s="57"/>
      <c r="G437" s="57"/>
      <c r="H437" s="57"/>
      <c r="I437" s="56"/>
      <c r="J437" s="56"/>
      <c r="K437" s="56" t="s">
        <v>585</v>
      </c>
      <c r="L437" s="56"/>
      <c r="M437" s="56"/>
      <c r="N437" s="56"/>
      <c r="O437" s="57">
        <v>0</v>
      </c>
      <c r="P437" s="56"/>
      <c r="Q437" s="56">
        <v>0</v>
      </c>
      <c r="R437" s="56"/>
      <c r="S437" s="56">
        <v>0</v>
      </c>
      <c r="T437" s="56"/>
      <c r="U437" s="56">
        <v>0</v>
      </c>
      <c r="V437" s="56"/>
      <c r="W437" s="56">
        <v>0</v>
      </c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</row>
    <row r="438" spans="1:35" x14ac:dyDescent="0.4">
      <c r="A438" s="56"/>
      <c r="B438" s="59"/>
      <c r="C438" s="56"/>
      <c r="D438" s="56"/>
      <c r="E438" s="56"/>
      <c r="F438" s="57"/>
      <c r="G438" s="57"/>
      <c r="H438" s="57"/>
      <c r="I438" s="56"/>
      <c r="J438" s="56"/>
      <c r="K438" s="56" t="s">
        <v>586</v>
      </c>
      <c r="L438" s="56"/>
      <c r="M438" s="56"/>
      <c r="N438" s="56"/>
      <c r="O438" s="57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</row>
    <row r="439" spans="1:35" x14ac:dyDescent="0.4">
      <c r="A439" s="56"/>
      <c r="B439" s="59"/>
      <c r="C439" s="56"/>
      <c r="D439" s="56"/>
      <c r="E439" s="56"/>
      <c r="F439" s="57"/>
      <c r="G439" s="57"/>
      <c r="H439" s="57"/>
      <c r="I439" s="56"/>
      <c r="J439" s="56"/>
      <c r="K439" s="56" t="s">
        <v>587</v>
      </c>
      <c r="L439" s="56"/>
      <c r="M439" s="56"/>
      <c r="N439" s="56"/>
      <c r="O439" s="57">
        <v>0</v>
      </c>
      <c r="P439" s="56"/>
      <c r="Q439" s="56">
        <v>0</v>
      </c>
      <c r="R439" s="56"/>
      <c r="S439" s="56">
        <v>0</v>
      </c>
      <c r="T439" s="56"/>
      <c r="U439" s="56">
        <v>0</v>
      </c>
      <c r="V439" s="56"/>
      <c r="W439" s="56">
        <v>0</v>
      </c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</row>
    <row r="440" spans="1:35" x14ac:dyDescent="0.4">
      <c r="A440" s="56"/>
      <c r="B440" s="59"/>
      <c r="C440" s="56"/>
      <c r="D440" s="56"/>
      <c r="E440" s="56"/>
      <c r="F440" s="57"/>
      <c r="G440" s="57"/>
      <c r="H440" s="57"/>
      <c r="I440" s="56"/>
      <c r="J440" s="56"/>
      <c r="K440" s="56" t="s">
        <v>588</v>
      </c>
      <c r="L440" s="56"/>
      <c r="M440" s="56"/>
      <c r="N440" s="56"/>
      <c r="O440" s="57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</row>
    <row r="441" spans="1:35" x14ac:dyDescent="0.4">
      <c r="A441" s="56"/>
      <c r="B441" s="59"/>
      <c r="C441" s="56"/>
      <c r="D441" s="56"/>
      <c r="E441" s="56"/>
      <c r="F441" s="57"/>
      <c r="G441" s="57"/>
      <c r="H441" s="57"/>
      <c r="I441" s="56"/>
      <c r="J441" s="56"/>
      <c r="K441" s="56" t="s">
        <v>589</v>
      </c>
      <c r="L441" s="56"/>
      <c r="M441" s="56"/>
      <c r="N441" s="56"/>
      <c r="O441" s="57">
        <v>0</v>
      </c>
      <c r="P441" s="56"/>
      <c r="Q441" s="56">
        <v>0</v>
      </c>
      <c r="R441" s="56"/>
      <c r="S441" s="56">
        <v>0</v>
      </c>
      <c r="T441" s="56"/>
      <c r="U441" s="56">
        <v>0</v>
      </c>
      <c r="V441" s="56"/>
      <c r="W441" s="56">
        <v>0</v>
      </c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</row>
    <row r="442" spans="1:35" x14ac:dyDescent="0.4">
      <c r="A442" s="56"/>
      <c r="B442" s="59"/>
      <c r="C442" s="56"/>
      <c r="D442" s="56"/>
      <c r="E442" s="56"/>
      <c r="F442" s="57"/>
      <c r="G442" s="57"/>
      <c r="H442" s="57"/>
      <c r="I442" s="56"/>
      <c r="J442" s="56"/>
      <c r="K442" s="56" t="s">
        <v>590</v>
      </c>
      <c r="L442" s="56"/>
      <c r="M442" s="56"/>
      <c r="N442" s="56"/>
      <c r="O442" s="57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</row>
    <row r="443" spans="1:35" x14ac:dyDescent="0.4">
      <c r="A443" s="56"/>
      <c r="B443" s="59"/>
      <c r="C443" s="56"/>
      <c r="D443" s="56"/>
      <c r="E443" s="56"/>
      <c r="F443" s="57"/>
      <c r="G443" s="57"/>
      <c r="H443" s="57"/>
      <c r="I443" s="56"/>
      <c r="J443" s="56"/>
      <c r="K443" s="56" t="s">
        <v>591</v>
      </c>
      <c r="L443" s="56"/>
      <c r="M443" s="56"/>
      <c r="N443" s="56"/>
      <c r="O443" s="57">
        <v>0</v>
      </c>
      <c r="P443" s="56"/>
      <c r="Q443" s="56">
        <v>0</v>
      </c>
      <c r="R443" s="56"/>
      <c r="S443" s="56">
        <v>0</v>
      </c>
      <c r="T443" s="56"/>
      <c r="U443" s="56">
        <v>0</v>
      </c>
      <c r="V443" s="56"/>
      <c r="W443" s="56">
        <v>0</v>
      </c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</row>
    <row r="444" spans="1:35" x14ac:dyDescent="0.4">
      <c r="A444" s="56"/>
      <c r="B444" s="59"/>
      <c r="C444" s="56"/>
      <c r="D444" s="56"/>
      <c r="E444" s="56"/>
      <c r="F444" s="57"/>
      <c r="G444" s="57"/>
      <c r="H444" s="57"/>
      <c r="I444" s="56"/>
      <c r="J444" s="56"/>
      <c r="K444" s="56" t="s">
        <v>592</v>
      </c>
      <c r="L444" s="56"/>
      <c r="M444" s="56"/>
      <c r="N444" s="56"/>
      <c r="O444" s="57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</row>
    <row r="445" spans="1:35" x14ac:dyDescent="0.4">
      <c r="A445" s="56"/>
      <c r="B445" s="59"/>
      <c r="C445" s="56"/>
      <c r="D445" s="56"/>
      <c r="E445" s="56"/>
      <c r="F445" s="57"/>
      <c r="G445" s="57"/>
      <c r="H445" s="57"/>
      <c r="I445" s="56"/>
      <c r="J445" s="56"/>
      <c r="K445" s="56" t="s">
        <v>593</v>
      </c>
      <c r="L445" s="56"/>
      <c r="M445" s="56"/>
      <c r="N445" s="56"/>
      <c r="O445" s="57">
        <v>0</v>
      </c>
      <c r="P445" s="56"/>
      <c r="Q445" s="56">
        <v>0</v>
      </c>
      <c r="R445" s="56"/>
      <c r="S445" s="56">
        <v>0</v>
      </c>
      <c r="T445" s="56"/>
      <c r="U445" s="56">
        <v>0</v>
      </c>
      <c r="V445" s="56"/>
      <c r="W445" s="56">
        <v>0</v>
      </c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</row>
    <row r="446" spans="1:35" x14ac:dyDescent="0.4">
      <c r="A446" s="56"/>
      <c r="B446" s="59"/>
      <c r="C446" s="56"/>
      <c r="D446" s="56"/>
      <c r="E446" s="56"/>
      <c r="F446" s="57"/>
      <c r="G446" s="57"/>
      <c r="H446" s="57"/>
      <c r="I446" s="56"/>
      <c r="J446" s="56"/>
      <c r="K446" s="56" t="s">
        <v>594</v>
      </c>
      <c r="L446" s="56"/>
      <c r="M446" s="56"/>
      <c r="N446" s="56"/>
      <c r="O446" s="57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</row>
    <row r="447" spans="1:35" x14ac:dyDescent="0.4">
      <c r="A447" s="56"/>
      <c r="B447" s="59"/>
      <c r="C447" s="56"/>
      <c r="D447" s="56"/>
      <c r="E447" s="56"/>
      <c r="F447" s="57"/>
      <c r="G447" s="57"/>
      <c r="H447" s="57"/>
      <c r="I447" s="56"/>
      <c r="J447" s="56"/>
      <c r="K447" s="56" t="s">
        <v>595</v>
      </c>
      <c r="L447" s="56"/>
      <c r="M447" s="56"/>
      <c r="N447" s="56"/>
      <c r="O447" s="57">
        <v>0</v>
      </c>
      <c r="P447" s="56"/>
      <c r="Q447" s="56">
        <v>0</v>
      </c>
      <c r="R447" s="56"/>
      <c r="S447" s="56">
        <v>0</v>
      </c>
      <c r="T447" s="56"/>
      <c r="U447" s="56">
        <v>0</v>
      </c>
      <c r="V447" s="56"/>
      <c r="W447" s="56">
        <v>0</v>
      </c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</row>
    <row r="448" spans="1:35" x14ac:dyDescent="0.4">
      <c r="A448" s="56"/>
      <c r="B448" s="59"/>
      <c r="C448" s="56"/>
      <c r="D448" s="56"/>
      <c r="E448" s="56"/>
      <c r="F448" s="57"/>
      <c r="G448" s="57"/>
      <c r="H448" s="57"/>
      <c r="I448" s="56"/>
      <c r="J448" s="58"/>
      <c r="K448" s="56" t="s">
        <v>596</v>
      </c>
      <c r="L448" s="56"/>
      <c r="M448" s="56"/>
      <c r="N448" s="58"/>
      <c r="O448" s="57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</row>
    <row r="449" spans="1:39" x14ac:dyDescent="0.4">
      <c r="A449" s="56"/>
      <c r="B449" s="59"/>
      <c r="C449" s="56"/>
      <c r="D449" s="56"/>
      <c r="E449" s="56"/>
      <c r="F449" s="57"/>
      <c r="G449" s="57"/>
      <c r="H449" s="57"/>
      <c r="I449" s="56"/>
      <c r="J449" s="56"/>
      <c r="K449" s="56" t="s">
        <v>597</v>
      </c>
      <c r="L449" s="56"/>
      <c r="M449" s="56"/>
      <c r="N449" s="56"/>
      <c r="O449" s="57">
        <v>0</v>
      </c>
      <c r="P449" s="56"/>
      <c r="Q449" s="56">
        <v>0</v>
      </c>
      <c r="R449" s="56"/>
      <c r="S449" s="56">
        <v>0</v>
      </c>
      <c r="T449" s="56"/>
      <c r="U449" s="56">
        <v>0</v>
      </c>
      <c r="V449" s="56"/>
      <c r="W449" s="56">
        <v>0</v>
      </c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</row>
    <row r="450" spans="1:39" x14ac:dyDescent="0.4">
      <c r="A450" s="56"/>
      <c r="B450" s="59"/>
      <c r="C450" s="56"/>
      <c r="D450" s="56"/>
      <c r="E450" s="56"/>
      <c r="F450" s="57"/>
      <c r="G450" s="57"/>
      <c r="H450" s="57"/>
      <c r="I450" s="56"/>
      <c r="J450" s="56" t="s">
        <v>75</v>
      </c>
      <c r="K450" s="56"/>
      <c r="L450" s="56"/>
      <c r="M450" s="56"/>
      <c r="N450" s="56"/>
      <c r="O450" s="57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</row>
    <row r="451" spans="1:39" x14ac:dyDescent="0.4">
      <c r="A451" s="56"/>
      <c r="B451" s="59"/>
      <c r="C451" s="56"/>
      <c r="D451" s="56"/>
      <c r="E451" s="56"/>
      <c r="F451" s="57"/>
      <c r="G451" s="57"/>
      <c r="H451" s="57"/>
      <c r="I451" s="56"/>
      <c r="J451" s="56"/>
      <c r="K451" s="56" t="s">
        <v>598</v>
      </c>
      <c r="L451" s="56"/>
      <c r="M451" s="56"/>
      <c r="N451" s="56"/>
      <c r="O451" s="57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</row>
    <row r="452" spans="1:39" x14ac:dyDescent="0.4">
      <c r="A452" s="56"/>
      <c r="B452" s="59"/>
      <c r="C452" s="56"/>
      <c r="D452" s="56"/>
      <c r="E452" s="56"/>
      <c r="F452" s="57"/>
      <c r="G452" s="57"/>
      <c r="H452" s="57"/>
      <c r="I452" s="56"/>
      <c r="J452" s="56"/>
      <c r="K452" s="56"/>
      <c r="L452" s="56" t="s">
        <v>599</v>
      </c>
      <c r="M452" s="56"/>
      <c r="N452" s="56"/>
      <c r="O452" s="57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</row>
    <row r="453" spans="1:39" x14ac:dyDescent="0.4">
      <c r="A453" s="56"/>
      <c r="B453" s="59"/>
      <c r="C453" s="56"/>
      <c r="D453" s="56"/>
      <c r="E453" s="56"/>
      <c r="F453" s="57"/>
      <c r="G453" s="57"/>
      <c r="H453" s="57"/>
      <c r="I453" s="56"/>
      <c r="J453" s="56"/>
      <c r="K453" s="56"/>
      <c r="L453" s="56" t="s">
        <v>600</v>
      </c>
      <c r="M453" s="56">
        <v>91.5</v>
      </c>
      <c r="N453" s="56">
        <v>1</v>
      </c>
      <c r="O453" s="57">
        <v>91500</v>
      </c>
      <c r="P453" s="56">
        <v>0</v>
      </c>
      <c r="Q453" s="56">
        <v>0</v>
      </c>
      <c r="R453" s="56">
        <v>91.5</v>
      </c>
      <c r="S453" s="56">
        <v>91.5</v>
      </c>
      <c r="T453" s="56">
        <v>0</v>
      </c>
      <c r="U453" s="56">
        <v>0</v>
      </c>
      <c r="V453" s="56">
        <v>91.5</v>
      </c>
      <c r="W453" s="56">
        <v>91.5</v>
      </c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</row>
    <row r="454" spans="1:39" x14ac:dyDescent="0.4">
      <c r="A454" s="56"/>
      <c r="B454" s="59"/>
      <c r="C454" s="56"/>
      <c r="D454" s="56"/>
      <c r="E454" s="56"/>
      <c r="F454" s="57"/>
      <c r="G454" s="57"/>
      <c r="H454" s="57"/>
      <c r="I454" s="56"/>
      <c r="J454" s="56"/>
      <c r="K454" s="56"/>
      <c r="L454" s="56" t="s">
        <v>601</v>
      </c>
      <c r="M454" s="56">
        <v>5.3</v>
      </c>
      <c r="N454" s="56">
        <v>60</v>
      </c>
      <c r="O454" s="57">
        <v>318000</v>
      </c>
      <c r="P454" s="56">
        <v>0</v>
      </c>
      <c r="Q454" s="56">
        <v>0</v>
      </c>
      <c r="R454" s="56">
        <v>5.3</v>
      </c>
      <c r="S454" s="56">
        <v>318</v>
      </c>
      <c r="T454" s="56">
        <v>0</v>
      </c>
      <c r="U454" s="56">
        <v>0</v>
      </c>
      <c r="V454" s="56">
        <v>5.3</v>
      </c>
      <c r="W454" s="56">
        <v>318</v>
      </c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</row>
    <row r="455" spans="1:39" x14ac:dyDescent="0.4">
      <c r="A455" s="56"/>
      <c r="B455" s="59"/>
      <c r="C455" s="56"/>
      <c r="D455" s="56"/>
      <c r="E455" s="56"/>
      <c r="F455" s="57"/>
      <c r="G455" s="57"/>
      <c r="H455" s="57"/>
      <c r="I455" s="56"/>
      <c r="J455" s="56"/>
      <c r="K455" s="56"/>
      <c r="L455" s="56" t="s">
        <v>602</v>
      </c>
      <c r="M455" s="56">
        <v>134.6</v>
      </c>
      <c r="N455" s="56">
        <v>1</v>
      </c>
      <c r="O455" s="57">
        <v>134600</v>
      </c>
      <c r="P455" s="56">
        <v>0</v>
      </c>
      <c r="Q455" s="56">
        <v>0</v>
      </c>
      <c r="R455" s="56">
        <v>134.6</v>
      </c>
      <c r="S455" s="56">
        <v>134.6</v>
      </c>
      <c r="T455" s="56">
        <v>0</v>
      </c>
      <c r="U455" s="56">
        <v>0</v>
      </c>
      <c r="V455" s="56">
        <v>134.6</v>
      </c>
      <c r="W455" s="56">
        <v>134.6</v>
      </c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</row>
    <row r="456" spans="1:39" x14ac:dyDescent="0.4">
      <c r="A456" s="56"/>
      <c r="B456" s="59"/>
      <c r="C456" s="56"/>
      <c r="D456" s="56"/>
      <c r="E456" s="56"/>
      <c r="F456" s="57"/>
      <c r="G456" s="57"/>
      <c r="H456" s="57"/>
      <c r="I456" s="56"/>
      <c r="J456" s="56"/>
      <c r="K456" s="56"/>
      <c r="L456" s="56" t="s">
        <v>603</v>
      </c>
      <c r="M456" s="56">
        <v>1.9</v>
      </c>
      <c r="N456" s="56">
        <v>60</v>
      </c>
      <c r="O456" s="57">
        <v>114000</v>
      </c>
      <c r="P456" s="56">
        <v>0</v>
      </c>
      <c r="Q456" s="56">
        <v>0</v>
      </c>
      <c r="R456" s="56">
        <v>1.9</v>
      </c>
      <c r="S456" s="56">
        <v>114</v>
      </c>
      <c r="T456" s="56">
        <v>0</v>
      </c>
      <c r="U456" s="56">
        <v>0</v>
      </c>
      <c r="V456" s="56">
        <v>1.9</v>
      </c>
      <c r="W456" s="56">
        <v>114</v>
      </c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</row>
    <row r="457" spans="1:39" x14ac:dyDescent="0.4">
      <c r="A457" s="56"/>
      <c r="B457" s="59"/>
      <c r="C457" s="56"/>
      <c r="D457" s="56"/>
      <c r="E457" s="56"/>
      <c r="F457" s="57"/>
      <c r="G457" s="57"/>
      <c r="H457" s="57"/>
      <c r="I457" s="56"/>
      <c r="J457" s="56" t="s">
        <v>243</v>
      </c>
      <c r="K457" s="56"/>
      <c r="L457" s="56" t="s">
        <v>604</v>
      </c>
      <c r="M457" s="56">
        <v>-1.9</v>
      </c>
      <c r="N457" s="56">
        <v>56</v>
      </c>
      <c r="O457" s="57">
        <v>-106400</v>
      </c>
      <c r="P457" s="56">
        <v>0</v>
      </c>
      <c r="Q457" s="56">
        <v>0</v>
      </c>
      <c r="R457" s="56">
        <v>-1.9</v>
      </c>
      <c r="S457" s="56">
        <v>-106.4</v>
      </c>
      <c r="T457" s="56">
        <v>0</v>
      </c>
      <c r="U457" s="56">
        <v>0</v>
      </c>
      <c r="V457" s="56">
        <v>-1.9</v>
      </c>
      <c r="W457" s="56">
        <v>-106.4</v>
      </c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</row>
    <row r="458" spans="1:39" x14ac:dyDescent="0.4">
      <c r="A458" s="56"/>
      <c r="B458" s="59"/>
      <c r="C458" s="56"/>
      <c r="D458" s="56"/>
      <c r="E458" s="56"/>
      <c r="F458" s="57"/>
      <c r="G458" s="57"/>
      <c r="H458" s="57"/>
      <c r="I458" s="56"/>
      <c r="J458" s="56"/>
      <c r="K458" s="56"/>
      <c r="L458" s="56" t="s">
        <v>605</v>
      </c>
      <c r="M458" s="56"/>
      <c r="N458" s="56"/>
      <c r="O458" s="57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</row>
    <row r="459" spans="1:39" x14ac:dyDescent="0.4">
      <c r="A459" s="56"/>
      <c r="B459" s="59"/>
      <c r="C459" s="56"/>
      <c r="D459" s="56"/>
      <c r="E459" s="56"/>
      <c r="F459" s="57"/>
      <c r="G459" s="57"/>
      <c r="H459" s="57"/>
      <c r="I459" s="56"/>
      <c r="J459" s="56"/>
      <c r="K459" s="56"/>
      <c r="L459" s="56" t="s">
        <v>606</v>
      </c>
      <c r="M459" s="56">
        <v>4.5999999999999996</v>
      </c>
      <c r="N459" s="56">
        <v>2</v>
      </c>
      <c r="O459" s="57">
        <v>9200</v>
      </c>
      <c r="P459" s="56">
        <v>0</v>
      </c>
      <c r="Q459" s="56">
        <v>0</v>
      </c>
      <c r="R459" s="56">
        <v>4.5999999999999996</v>
      </c>
      <c r="S459" s="56">
        <v>9.1999999999999993</v>
      </c>
      <c r="T459" s="56">
        <v>0</v>
      </c>
      <c r="U459" s="56">
        <v>0</v>
      </c>
      <c r="V459" s="56">
        <v>4.5999999999999996</v>
      </c>
      <c r="W459" s="56">
        <v>9.1999999999999993</v>
      </c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</row>
    <row r="460" spans="1:39" x14ac:dyDescent="0.4">
      <c r="A460" s="56"/>
      <c r="B460" s="59"/>
      <c r="C460" s="56"/>
      <c r="D460" s="56"/>
      <c r="E460" s="56"/>
      <c r="F460" s="57"/>
      <c r="G460" s="57"/>
      <c r="H460" s="57"/>
      <c r="I460" s="56"/>
      <c r="J460" s="56"/>
      <c r="K460" s="56"/>
      <c r="L460" s="56" t="s">
        <v>607</v>
      </c>
      <c r="M460" s="56">
        <v>8.6999999999999993</v>
      </c>
      <c r="N460" s="56">
        <v>2</v>
      </c>
      <c r="O460" s="57">
        <v>17400</v>
      </c>
      <c r="P460" s="56">
        <v>0</v>
      </c>
      <c r="Q460" s="56">
        <v>0</v>
      </c>
      <c r="R460" s="56">
        <v>8.6999999999999993</v>
      </c>
      <c r="S460" s="56">
        <v>17.399999999999999</v>
      </c>
      <c r="T460" s="56">
        <v>0</v>
      </c>
      <c r="U460" s="56">
        <v>0</v>
      </c>
      <c r="V460" s="56">
        <v>8.6999999999999993</v>
      </c>
      <c r="W460" s="56">
        <v>17.399999999999999</v>
      </c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</row>
    <row r="461" spans="1:39" x14ac:dyDescent="0.4">
      <c r="A461" s="56"/>
      <c r="B461" s="59"/>
      <c r="C461" s="56"/>
      <c r="D461" s="56"/>
      <c r="E461" s="56"/>
      <c r="F461" s="57"/>
      <c r="G461" s="57"/>
      <c r="H461" s="57"/>
      <c r="I461" s="56"/>
      <c r="J461" s="56"/>
      <c r="K461" s="56"/>
      <c r="L461" s="56" t="s">
        <v>975</v>
      </c>
      <c r="M461" s="56">
        <v>-1.2</v>
      </c>
      <c r="N461" s="56">
        <v>2</v>
      </c>
      <c r="O461" s="57">
        <v>-2400</v>
      </c>
      <c r="P461" s="56">
        <v>0</v>
      </c>
      <c r="Q461" s="56">
        <v>0</v>
      </c>
      <c r="R461" s="56">
        <v>-1.2</v>
      </c>
      <c r="S461" s="56">
        <v>-2.4</v>
      </c>
      <c r="T461" s="56">
        <v>0</v>
      </c>
      <c r="U461" s="56">
        <v>0</v>
      </c>
      <c r="V461" s="56">
        <v>-1.2</v>
      </c>
      <c r="W461" s="56">
        <v>-2.4</v>
      </c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</row>
    <row r="462" spans="1:39" x14ac:dyDescent="0.4">
      <c r="A462" s="56"/>
      <c r="B462" s="59"/>
      <c r="C462" s="56"/>
      <c r="D462" s="56"/>
      <c r="E462" s="56"/>
      <c r="F462" s="57"/>
      <c r="G462" s="57"/>
      <c r="H462" s="57"/>
      <c r="I462" s="56"/>
      <c r="J462" s="56"/>
      <c r="K462" s="56"/>
      <c r="L462" s="56" t="s">
        <v>976</v>
      </c>
      <c r="M462" s="56">
        <v>-1.2</v>
      </c>
      <c r="N462" s="56">
        <v>2</v>
      </c>
      <c r="O462" s="57">
        <v>-2400</v>
      </c>
      <c r="P462" s="56">
        <v>0</v>
      </c>
      <c r="Q462" s="56">
        <v>0</v>
      </c>
      <c r="R462" s="56">
        <v>-1.2</v>
      </c>
      <c r="S462" s="56">
        <v>-2.4</v>
      </c>
      <c r="T462" s="56">
        <v>0</v>
      </c>
      <c r="U462" s="56">
        <v>0</v>
      </c>
      <c r="V462" s="56">
        <v>-1.2</v>
      </c>
      <c r="W462" s="56">
        <v>-2.4</v>
      </c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</row>
    <row r="463" spans="1:39" x14ac:dyDescent="0.4">
      <c r="A463" s="56"/>
      <c r="B463" s="59"/>
      <c r="C463" s="56"/>
      <c r="D463" s="56"/>
      <c r="E463" s="56"/>
      <c r="F463" s="57"/>
      <c r="G463" s="57"/>
      <c r="H463" s="57"/>
      <c r="I463" s="56"/>
      <c r="J463" s="56"/>
      <c r="K463" s="56"/>
      <c r="L463" s="56" t="s">
        <v>608</v>
      </c>
      <c r="M463" s="56"/>
      <c r="N463" s="56"/>
      <c r="O463" s="57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</row>
    <row r="464" spans="1:39" x14ac:dyDescent="0.4">
      <c r="A464" s="56"/>
      <c r="B464" s="59"/>
      <c r="C464" s="56"/>
      <c r="D464" s="56"/>
      <c r="E464" s="56"/>
      <c r="F464" s="57"/>
      <c r="G464" s="57"/>
      <c r="H464" s="57"/>
      <c r="I464" s="56"/>
      <c r="J464" s="56"/>
      <c r="K464" s="56"/>
      <c r="L464" s="56" t="s">
        <v>609</v>
      </c>
      <c r="M464" s="56">
        <v>34.4</v>
      </c>
      <c r="N464" s="56">
        <v>3</v>
      </c>
      <c r="O464" s="57">
        <v>103200</v>
      </c>
      <c r="P464" s="56">
        <v>0</v>
      </c>
      <c r="Q464" s="56">
        <v>0</v>
      </c>
      <c r="R464" s="56">
        <v>34.4</v>
      </c>
      <c r="S464" s="56">
        <v>103.2</v>
      </c>
      <c r="T464" s="56">
        <v>0</v>
      </c>
      <c r="U464" s="56">
        <v>0</v>
      </c>
      <c r="V464" s="56">
        <v>34.4</v>
      </c>
      <c r="W464" s="56">
        <v>103.2</v>
      </c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</row>
    <row r="465" spans="1:39" x14ac:dyDescent="0.4">
      <c r="A465" s="56"/>
      <c r="B465" s="59"/>
      <c r="C465" s="56"/>
      <c r="D465" s="56"/>
      <c r="E465" s="56"/>
      <c r="F465" s="57"/>
      <c r="G465" s="57"/>
      <c r="H465" s="57"/>
      <c r="I465" s="56"/>
      <c r="J465" s="56"/>
      <c r="K465" s="56"/>
      <c r="L465" s="56" t="s">
        <v>610</v>
      </c>
      <c r="M465" s="56"/>
      <c r="N465" s="56"/>
      <c r="O465" s="57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</row>
    <row r="466" spans="1:39" x14ac:dyDescent="0.4">
      <c r="A466" s="56"/>
      <c r="B466" s="59"/>
      <c r="C466" s="56"/>
      <c r="D466" s="56"/>
      <c r="E466" s="56"/>
      <c r="F466" s="57"/>
      <c r="G466" s="57"/>
      <c r="H466" s="57"/>
      <c r="I466" s="56"/>
      <c r="J466" s="56"/>
      <c r="K466" s="56"/>
      <c r="L466" s="56" t="s">
        <v>611</v>
      </c>
      <c r="M466" s="56">
        <v>10.8</v>
      </c>
      <c r="N466" s="56">
        <v>16</v>
      </c>
      <c r="O466" s="57">
        <v>172800</v>
      </c>
      <c r="P466" s="56">
        <v>0</v>
      </c>
      <c r="Q466" s="56">
        <v>0</v>
      </c>
      <c r="R466" s="56">
        <v>10.8</v>
      </c>
      <c r="S466" s="56">
        <v>172.8</v>
      </c>
      <c r="T466" s="56">
        <v>0</v>
      </c>
      <c r="U466" s="56">
        <v>0</v>
      </c>
      <c r="V466" s="56">
        <v>10.8</v>
      </c>
      <c r="W466" s="56">
        <v>172.8</v>
      </c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</row>
    <row r="467" spans="1:39" x14ac:dyDescent="0.4">
      <c r="A467" s="56"/>
      <c r="B467" s="59"/>
      <c r="C467" s="56"/>
      <c r="D467" s="56"/>
      <c r="E467" s="56"/>
      <c r="F467" s="57"/>
      <c r="G467" s="57"/>
      <c r="H467" s="57"/>
      <c r="I467" s="56"/>
      <c r="J467" s="56"/>
      <c r="K467" s="56"/>
      <c r="L467" s="56" t="s">
        <v>612</v>
      </c>
      <c r="M467" s="56">
        <v>10.8</v>
      </c>
      <c r="N467" s="56">
        <v>2</v>
      </c>
      <c r="O467" s="57">
        <v>21600</v>
      </c>
      <c r="P467" s="56">
        <v>0</v>
      </c>
      <c r="Q467" s="56">
        <v>0</v>
      </c>
      <c r="R467" s="56">
        <v>10.8</v>
      </c>
      <c r="S467" s="56">
        <v>21.6</v>
      </c>
      <c r="T467" s="56">
        <v>0</v>
      </c>
      <c r="U467" s="56">
        <v>0</v>
      </c>
      <c r="V467" s="56">
        <v>10.8</v>
      </c>
      <c r="W467" s="56">
        <v>21.6</v>
      </c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</row>
    <row r="468" spans="1:39" x14ac:dyDescent="0.4">
      <c r="A468" s="56"/>
      <c r="B468" s="59"/>
      <c r="C468" s="56"/>
      <c r="D468" s="56"/>
      <c r="E468" s="56"/>
      <c r="F468" s="57"/>
      <c r="G468" s="57"/>
      <c r="H468" s="57"/>
      <c r="I468" s="56"/>
      <c r="J468" s="56"/>
      <c r="K468" s="56"/>
      <c r="L468" s="56" t="s">
        <v>613</v>
      </c>
      <c r="M468" s="56">
        <v>28.9</v>
      </c>
      <c r="N468" s="56">
        <v>5</v>
      </c>
      <c r="O468" s="57">
        <v>144500</v>
      </c>
      <c r="P468" s="56">
        <v>0</v>
      </c>
      <c r="Q468" s="56">
        <v>0</v>
      </c>
      <c r="R468" s="56">
        <v>28.9</v>
      </c>
      <c r="S468" s="56">
        <v>144.5</v>
      </c>
      <c r="T468" s="56">
        <v>0</v>
      </c>
      <c r="U468" s="56">
        <v>0</v>
      </c>
      <c r="V468" s="56">
        <v>28.9</v>
      </c>
      <c r="W468" s="56">
        <v>144.5</v>
      </c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</row>
    <row r="469" spans="1:39" x14ac:dyDescent="0.4">
      <c r="A469" s="56"/>
      <c r="B469" s="59"/>
      <c r="C469" s="56"/>
      <c r="D469" s="56"/>
      <c r="E469" s="56"/>
      <c r="F469" s="57"/>
      <c r="G469" s="57"/>
      <c r="H469" s="57"/>
      <c r="I469" s="56"/>
      <c r="J469" s="56"/>
      <c r="K469" s="56"/>
      <c r="L469" s="56" t="s">
        <v>977</v>
      </c>
      <c r="M469" s="56">
        <v>28.9</v>
      </c>
      <c r="N469" s="56">
        <v>1</v>
      </c>
      <c r="O469" s="57">
        <v>28900</v>
      </c>
      <c r="P469" s="56">
        <v>0</v>
      </c>
      <c r="Q469" s="56">
        <v>0</v>
      </c>
      <c r="R469" s="56">
        <v>28.9</v>
      </c>
      <c r="S469" s="56">
        <v>28.9</v>
      </c>
      <c r="T469" s="56">
        <v>0</v>
      </c>
      <c r="U469" s="56">
        <v>0</v>
      </c>
      <c r="V469" s="56">
        <v>28.9</v>
      </c>
      <c r="W469" s="56">
        <v>28.9</v>
      </c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</row>
    <row r="470" spans="1:39" x14ac:dyDescent="0.4">
      <c r="A470" s="56"/>
      <c r="B470" s="59"/>
      <c r="C470" s="56"/>
      <c r="D470" s="56"/>
      <c r="E470" s="56"/>
      <c r="F470" s="57"/>
      <c r="G470" s="57"/>
      <c r="H470" s="57"/>
      <c r="I470" s="56"/>
      <c r="J470" s="56"/>
      <c r="K470" s="56"/>
      <c r="L470" s="56" t="s">
        <v>614</v>
      </c>
      <c r="M470" s="56">
        <v>20.3</v>
      </c>
      <c r="N470" s="56">
        <v>25</v>
      </c>
      <c r="O470" s="57">
        <v>507500</v>
      </c>
      <c r="P470" s="56">
        <v>0</v>
      </c>
      <c r="Q470" s="56">
        <v>0</v>
      </c>
      <c r="R470" s="56">
        <v>20.3</v>
      </c>
      <c r="S470" s="56">
        <v>507.5</v>
      </c>
      <c r="T470" s="56">
        <v>0</v>
      </c>
      <c r="U470" s="56">
        <v>0</v>
      </c>
      <c r="V470" s="56">
        <v>20.3</v>
      </c>
      <c r="W470" s="56">
        <v>507.5</v>
      </c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</row>
    <row r="471" spans="1:39" x14ac:dyDescent="0.4">
      <c r="A471" s="56"/>
      <c r="B471" s="59"/>
      <c r="C471" s="56"/>
      <c r="D471" s="56"/>
      <c r="E471" s="56"/>
      <c r="F471" s="57"/>
      <c r="G471" s="57"/>
      <c r="H471" s="57"/>
      <c r="I471" s="56"/>
      <c r="J471" s="56"/>
      <c r="K471" s="56"/>
      <c r="L471" s="56" t="s">
        <v>842</v>
      </c>
      <c r="M471" s="56">
        <v>1.4</v>
      </c>
      <c r="N471" s="56">
        <v>9</v>
      </c>
      <c r="O471" s="57">
        <v>12600</v>
      </c>
      <c r="P471" s="56">
        <v>0</v>
      </c>
      <c r="Q471" s="56">
        <v>0</v>
      </c>
      <c r="R471" s="56">
        <v>1.4</v>
      </c>
      <c r="S471" s="56">
        <v>12.6</v>
      </c>
      <c r="T471" s="56">
        <v>0</v>
      </c>
      <c r="U471" s="56">
        <v>0</v>
      </c>
      <c r="V471" s="56">
        <v>1.4</v>
      </c>
      <c r="W471" s="56">
        <v>12.6</v>
      </c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</row>
    <row r="472" spans="1:39" x14ac:dyDescent="0.4">
      <c r="A472" s="56"/>
      <c r="B472" s="59"/>
      <c r="C472" s="56"/>
      <c r="D472" s="56"/>
      <c r="E472" s="56"/>
      <c r="F472" s="57"/>
      <c r="G472" s="57"/>
      <c r="H472" s="57"/>
      <c r="I472" s="56"/>
      <c r="J472" s="56"/>
      <c r="K472" s="56"/>
      <c r="L472" s="56" t="s">
        <v>978</v>
      </c>
      <c r="M472" s="56">
        <v>-4.4000000000000004</v>
      </c>
      <c r="N472" s="56">
        <v>25</v>
      </c>
      <c r="O472" s="57">
        <v>-110000</v>
      </c>
      <c r="P472" s="56">
        <v>0</v>
      </c>
      <c r="Q472" s="56">
        <v>0</v>
      </c>
      <c r="R472" s="56">
        <v>-4.4000000000000004</v>
      </c>
      <c r="S472" s="56">
        <v>-110</v>
      </c>
      <c r="T472" s="56">
        <v>0</v>
      </c>
      <c r="U472" s="56">
        <v>0</v>
      </c>
      <c r="V472" s="56">
        <v>-4.4000000000000004</v>
      </c>
      <c r="W472" s="56">
        <v>-110</v>
      </c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</row>
    <row r="473" spans="1:39" x14ac:dyDescent="0.4">
      <c r="A473" s="56"/>
      <c r="B473" s="59"/>
      <c r="C473" s="56"/>
      <c r="D473" s="56"/>
      <c r="E473" s="56"/>
      <c r="F473" s="57"/>
      <c r="G473" s="57"/>
      <c r="H473" s="57"/>
      <c r="I473" s="56"/>
      <c r="J473" s="56"/>
      <c r="K473" s="56"/>
      <c r="L473" s="56" t="s">
        <v>615</v>
      </c>
      <c r="M473" s="56"/>
      <c r="N473" s="56"/>
      <c r="O473" s="57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</row>
    <row r="474" spans="1:39" x14ac:dyDescent="0.4">
      <c r="A474" s="56"/>
      <c r="B474" s="59"/>
      <c r="C474" s="56"/>
      <c r="D474" s="56"/>
      <c r="E474" s="56"/>
      <c r="F474" s="57"/>
      <c r="G474" s="57"/>
      <c r="H474" s="57"/>
      <c r="I474" s="56"/>
      <c r="J474" s="56"/>
      <c r="K474" s="56"/>
      <c r="L474" s="56" t="s">
        <v>616</v>
      </c>
      <c r="M474" s="56">
        <v>3.3</v>
      </c>
      <c r="N474" s="56">
        <v>9</v>
      </c>
      <c r="O474" s="57">
        <v>29700</v>
      </c>
      <c r="P474" s="56">
        <v>0</v>
      </c>
      <c r="Q474" s="56">
        <v>0</v>
      </c>
      <c r="R474" s="56">
        <v>3.3</v>
      </c>
      <c r="S474" s="56">
        <v>29.7</v>
      </c>
      <c r="T474" s="56">
        <v>0</v>
      </c>
      <c r="U474" s="56">
        <v>0</v>
      </c>
      <c r="V474" s="56">
        <v>3.3</v>
      </c>
      <c r="W474" s="56">
        <v>29.7</v>
      </c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</row>
    <row r="475" spans="1:39" x14ac:dyDescent="0.4">
      <c r="A475" s="56"/>
      <c r="B475" s="59"/>
      <c r="C475" s="56"/>
      <c r="D475" s="56"/>
      <c r="E475" s="56"/>
      <c r="F475" s="57"/>
      <c r="G475" s="57"/>
      <c r="H475" s="57"/>
      <c r="I475" s="56"/>
      <c r="J475" s="56"/>
      <c r="K475" s="56"/>
      <c r="L475" s="56" t="s">
        <v>617</v>
      </c>
      <c r="M475" s="56">
        <v>4.3</v>
      </c>
      <c r="N475" s="56">
        <v>7</v>
      </c>
      <c r="O475" s="57">
        <v>30100</v>
      </c>
      <c r="P475" s="56">
        <v>0</v>
      </c>
      <c r="Q475" s="56">
        <v>0</v>
      </c>
      <c r="R475" s="56">
        <v>4.3</v>
      </c>
      <c r="S475" s="56">
        <v>30.1</v>
      </c>
      <c r="T475" s="56">
        <v>0</v>
      </c>
      <c r="U475" s="56">
        <v>0</v>
      </c>
      <c r="V475" s="56">
        <v>4.3</v>
      </c>
      <c r="W475" s="56">
        <v>30.1</v>
      </c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</row>
    <row r="476" spans="1:39" x14ac:dyDescent="0.4">
      <c r="A476" s="56"/>
      <c r="B476" s="59"/>
      <c r="C476" s="56"/>
      <c r="D476" s="56"/>
      <c r="E476" s="56"/>
      <c r="F476" s="57"/>
      <c r="G476" s="57"/>
      <c r="H476" s="57"/>
      <c r="I476" s="56"/>
      <c r="J476" s="56"/>
      <c r="K476" s="56"/>
      <c r="L476" s="56" t="s">
        <v>979</v>
      </c>
      <c r="M476" s="56">
        <v>3.1</v>
      </c>
      <c r="N476" s="56">
        <v>1</v>
      </c>
      <c r="O476" s="57">
        <v>3100</v>
      </c>
      <c r="P476" s="56">
        <v>0</v>
      </c>
      <c r="Q476" s="56">
        <v>0</v>
      </c>
      <c r="R476" s="56">
        <v>3.1</v>
      </c>
      <c r="S476" s="56">
        <v>3.1</v>
      </c>
      <c r="T476" s="56">
        <v>0</v>
      </c>
      <c r="U476" s="56">
        <v>0</v>
      </c>
      <c r="V476" s="56">
        <v>3.1</v>
      </c>
      <c r="W476" s="56">
        <v>3.1</v>
      </c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</row>
    <row r="477" spans="1:39" x14ac:dyDescent="0.4">
      <c r="A477" s="56"/>
      <c r="B477" s="59"/>
      <c r="C477" s="56"/>
      <c r="D477" s="56"/>
      <c r="E477" s="56"/>
      <c r="F477" s="57"/>
      <c r="G477" s="57"/>
      <c r="H477" s="57"/>
      <c r="I477" s="56"/>
      <c r="J477" s="56"/>
      <c r="K477" s="56"/>
      <c r="L477" s="56" t="s">
        <v>980</v>
      </c>
      <c r="M477" s="56">
        <v>11.5</v>
      </c>
      <c r="N477" s="56">
        <v>1</v>
      </c>
      <c r="O477" s="57">
        <v>11500</v>
      </c>
      <c r="P477" s="56">
        <v>0</v>
      </c>
      <c r="Q477" s="56">
        <v>0</v>
      </c>
      <c r="R477" s="56">
        <v>11.5</v>
      </c>
      <c r="S477" s="56">
        <v>11.5</v>
      </c>
      <c r="T477" s="56">
        <v>0</v>
      </c>
      <c r="U477" s="56">
        <v>0</v>
      </c>
      <c r="V477" s="56">
        <v>11.5</v>
      </c>
      <c r="W477" s="56">
        <v>11.5</v>
      </c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</row>
    <row r="478" spans="1:39" x14ac:dyDescent="0.4">
      <c r="A478" s="56"/>
      <c r="B478" s="59"/>
      <c r="C478" s="56"/>
      <c r="D478" s="56"/>
      <c r="E478" s="56"/>
      <c r="F478" s="57"/>
      <c r="G478" s="57"/>
      <c r="H478" s="57"/>
      <c r="I478" s="56"/>
      <c r="J478" s="56"/>
      <c r="K478" s="56"/>
      <c r="L478" s="56" t="s">
        <v>618</v>
      </c>
      <c r="M478" s="56">
        <v>23.4</v>
      </c>
      <c r="N478" s="56">
        <v>1</v>
      </c>
      <c r="O478" s="57">
        <v>23400</v>
      </c>
      <c r="P478" s="56">
        <v>0</v>
      </c>
      <c r="Q478" s="56">
        <v>0</v>
      </c>
      <c r="R478" s="56">
        <v>23.4</v>
      </c>
      <c r="S478" s="56">
        <v>23.4</v>
      </c>
      <c r="T478" s="56">
        <v>0</v>
      </c>
      <c r="U478" s="56">
        <v>0</v>
      </c>
      <c r="V478" s="56">
        <v>23.4</v>
      </c>
      <c r="W478" s="56">
        <v>23.4</v>
      </c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</row>
    <row r="479" spans="1:39" x14ac:dyDescent="0.4">
      <c r="A479" s="56"/>
      <c r="B479" s="59"/>
      <c r="C479" s="56"/>
      <c r="D479" s="56"/>
      <c r="E479" s="56"/>
      <c r="F479" s="57"/>
      <c r="G479" s="57"/>
      <c r="H479" s="57"/>
      <c r="I479" s="56"/>
      <c r="J479" s="56"/>
      <c r="K479" s="56"/>
      <c r="L479" s="56" t="s">
        <v>619</v>
      </c>
      <c r="M479" s="56">
        <v>3.8</v>
      </c>
      <c r="N479" s="56">
        <v>13.6</v>
      </c>
      <c r="O479" s="57">
        <v>51680</v>
      </c>
      <c r="P479" s="56">
        <v>0</v>
      </c>
      <c r="Q479" s="56">
        <v>0</v>
      </c>
      <c r="R479" s="56">
        <v>3.8</v>
      </c>
      <c r="S479" s="56">
        <v>51.68</v>
      </c>
      <c r="T479" s="56">
        <v>0</v>
      </c>
      <c r="U479" s="56">
        <v>0</v>
      </c>
      <c r="V479" s="56">
        <v>3.8</v>
      </c>
      <c r="W479" s="56">
        <v>51.68</v>
      </c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</row>
    <row r="480" spans="1:39" x14ac:dyDescent="0.4">
      <c r="A480" s="56"/>
      <c r="B480" s="59"/>
      <c r="C480" s="56"/>
      <c r="D480" s="56"/>
      <c r="E480" s="56"/>
      <c r="F480" s="57"/>
      <c r="G480" s="57"/>
      <c r="H480" s="57"/>
      <c r="I480" s="56"/>
      <c r="J480" s="56"/>
      <c r="K480" s="56"/>
      <c r="L480" s="56" t="s">
        <v>620</v>
      </c>
      <c r="M480" s="56">
        <v>1.4</v>
      </c>
      <c r="N480" s="56">
        <v>28</v>
      </c>
      <c r="O480" s="57">
        <v>39200</v>
      </c>
      <c r="P480" s="56">
        <v>1</v>
      </c>
      <c r="Q480" s="56">
        <v>28</v>
      </c>
      <c r="R480" s="56">
        <v>0.4</v>
      </c>
      <c r="S480" s="56">
        <v>11.2</v>
      </c>
      <c r="T480" s="56">
        <v>1</v>
      </c>
      <c r="U480" s="56">
        <v>28</v>
      </c>
      <c r="V480" s="56">
        <v>0.4</v>
      </c>
      <c r="W480" s="56">
        <v>11.2</v>
      </c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</row>
    <row r="481" spans="1:39" x14ac:dyDescent="0.4">
      <c r="A481" s="56"/>
      <c r="B481" s="59"/>
      <c r="C481" s="56"/>
      <c r="D481" s="56"/>
      <c r="E481" s="56"/>
      <c r="F481" s="57"/>
      <c r="G481" s="57"/>
      <c r="H481" s="57"/>
      <c r="I481" s="56"/>
      <c r="J481" s="56"/>
      <c r="K481" s="56"/>
      <c r="L481" s="56" t="s">
        <v>621</v>
      </c>
      <c r="M481" s="56">
        <v>0.8</v>
      </c>
      <c r="N481" s="56">
        <v>5</v>
      </c>
      <c r="O481" s="57">
        <v>4000</v>
      </c>
      <c r="P481" s="56">
        <v>0.6</v>
      </c>
      <c r="Q481" s="56">
        <v>3</v>
      </c>
      <c r="R481" s="56">
        <v>0.2</v>
      </c>
      <c r="S481" s="56">
        <v>1</v>
      </c>
      <c r="T481" s="56">
        <v>0.6</v>
      </c>
      <c r="U481" s="56">
        <v>3</v>
      </c>
      <c r="V481" s="56">
        <v>0.2</v>
      </c>
      <c r="W481" s="56">
        <v>1</v>
      </c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</row>
    <row r="482" spans="1:39" x14ac:dyDescent="0.4">
      <c r="A482" s="56"/>
      <c r="B482" s="59"/>
      <c r="C482" s="56"/>
      <c r="D482" s="56"/>
      <c r="E482" s="56"/>
      <c r="F482" s="57"/>
      <c r="G482" s="57"/>
      <c r="H482" s="57"/>
      <c r="I482" s="56"/>
      <c r="J482" s="56"/>
      <c r="K482" s="56"/>
      <c r="L482" s="56" t="s">
        <v>622</v>
      </c>
      <c r="M482" s="56"/>
      <c r="N482" s="56"/>
      <c r="O482" s="57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</row>
    <row r="483" spans="1:39" x14ac:dyDescent="0.4">
      <c r="A483" s="56"/>
      <c r="B483" s="59"/>
      <c r="C483" s="56"/>
      <c r="D483" s="56"/>
      <c r="E483" s="56"/>
      <c r="F483" s="57"/>
      <c r="G483" s="57"/>
      <c r="H483" s="57"/>
      <c r="I483" s="56"/>
      <c r="J483" s="56"/>
      <c r="K483" s="56"/>
      <c r="L483" s="56" t="s">
        <v>623</v>
      </c>
      <c r="M483" s="56">
        <v>3.2</v>
      </c>
      <c r="N483" s="56">
        <v>30</v>
      </c>
      <c r="O483" s="57">
        <v>96000</v>
      </c>
      <c r="P483" s="56">
        <v>0</v>
      </c>
      <c r="Q483" s="56">
        <v>0</v>
      </c>
      <c r="R483" s="56">
        <v>3.2</v>
      </c>
      <c r="S483" s="56">
        <v>96</v>
      </c>
      <c r="T483" s="56">
        <v>0</v>
      </c>
      <c r="U483" s="56">
        <v>0</v>
      </c>
      <c r="V483" s="56">
        <v>3.2</v>
      </c>
      <c r="W483" s="56">
        <v>96</v>
      </c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</row>
    <row r="484" spans="1:39" x14ac:dyDescent="0.4">
      <c r="A484" s="56"/>
      <c r="B484" s="59"/>
      <c r="C484" s="56"/>
      <c r="D484" s="56"/>
      <c r="E484" s="56"/>
      <c r="F484" s="57"/>
      <c r="G484" s="57"/>
      <c r="H484" s="57"/>
      <c r="I484" s="56"/>
      <c r="J484" s="56"/>
      <c r="K484" s="56"/>
      <c r="L484" s="56" t="s">
        <v>624</v>
      </c>
      <c r="M484" s="56">
        <v>1.6</v>
      </c>
      <c r="N484" s="56">
        <v>6</v>
      </c>
      <c r="O484" s="57">
        <v>9600</v>
      </c>
      <c r="P484" s="56">
        <v>0</v>
      </c>
      <c r="Q484" s="56">
        <v>0</v>
      </c>
      <c r="R484" s="56">
        <v>1.6</v>
      </c>
      <c r="S484" s="56">
        <v>9.6</v>
      </c>
      <c r="T484" s="56">
        <v>0</v>
      </c>
      <c r="U484" s="56">
        <v>0</v>
      </c>
      <c r="V484" s="56">
        <v>1.6</v>
      </c>
      <c r="W484" s="56">
        <v>9.6</v>
      </c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</row>
    <row r="485" spans="1:39" x14ac:dyDescent="0.4">
      <c r="A485" s="56"/>
      <c r="B485" s="59"/>
      <c r="C485" s="56"/>
      <c r="D485" s="56"/>
      <c r="E485" s="56"/>
      <c r="F485" s="57"/>
      <c r="G485" s="57"/>
      <c r="H485" s="57"/>
      <c r="I485" s="56"/>
      <c r="J485" s="56"/>
      <c r="K485" s="56"/>
      <c r="L485" s="56" t="s">
        <v>625</v>
      </c>
      <c r="M485" s="56"/>
      <c r="N485" s="56"/>
      <c r="O485" s="57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</row>
    <row r="486" spans="1:39" x14ac:dyDescent="0.4">
      <c r="A486" s="56"/>
      <c r="B486" s="59"/>
      <c r="C486" s="56"/>
      <c r="D486" s="56"/>
      <c r="E486" s="56"/>
      <c r="F486" s="57"/>
      <c r="G486" s="57"/>
      <c r="H486" s="57"/>
      <c r="I486" s="56"/>
      <c r="J486" s="56"/>
      <c r="K486" s="56"/>
      <c r="L486" s="56" t="s">
        <v>626</v>
      </c>
      <c r="M486" s="56">
        <v>4.5999999999999996</v>
      </c>
      <c r="N486" s="56">
        <v>6</v>
      </c>
      <c r="O486" s="57">
        <v>27600</v>
      </c>
      <c r="P486" s="56">
        <v>0</v>
      </c>
      <c r="Q486" s="56">
        <v>0</v>
      </c>
      <c r="R486" s="56">
        <v>4.5999999999999996</v>
      </c>
      <c r="S486" s="56">
        <v>27.6</v>
      </c>
      <c r="T486" s="56">
        <v>0</v>
      </c>
      <c r="U486" s="56">
        <v>0</v>
      </c>
      <c r="V486" s="56">
        <v>4.5999999999999996</v>
      </c>
      <c r="W486" s="56">
        <v>27.6</v>
      </c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</row>
    <row r="487" spans="1:39" x14ac:dyDescent="0.4">
      <c r="A487" s="56"/>
      <c r="B487" s="59"/>
      <c r="C487" s="56"/>
      <c r="D487" s="56"/>
      <c r="E487" s="56"/>
      <c r="F487" s="57"/>
      <c r="G487" s="57"/>
      <c r="H487" s="57"/>
      <c r="I487" s="56"/>
      <c r="J487" s="56"/>
      <c r="K487" s="56"/>
      <c r="L487" s="56" t="s">
        <v>981</v>
      </c>
      <c r="M487" s="56">
        <v>-1.4</v>
      </c>
      <c r="N487" s="56">
        <v>1</v>
      </c>
      <c r="O487" s="57">
        <v>-1400</v>
      </c>
      <c r="P487" s="56">
        <v>0</v>
      </c>
      <c r="Q487" s="56">
        <v>0</v>
      </c>
      <c r="R487" s="56">
        <v>-1.4</v>
      </c>
      <c r="S487" s="56">
        <v>-1.4</v>
      </c>
      <c r="T487" s="56">
        <v>0</v>
      </c>
      <c r="U487" s="56">
        <v>0</v>
      </c>
      <c r="V487" s="56">
        <v>-1.4</v>
      </c>
      <c r="W487" s="56">
        <v>-1.4</v>
      </c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</row>
    <row r="488" spans="1:39" x14ac:dyDescent="0.4">
      <c r="A488" s="56"/>
      <c r="B488" s="59"/>
      <c r="C488" s="56"/>
      <c r="D488" s="56"/>
      <c r="E488" s="56"/>
      <c r="F488" s="57"/>
      <c r="G488" s="57"/>
      <c r="H488" s="57"/>
      <c r="I488" s="56"/>
      <c r="J488" s="56"/>
      <c r="K488" s="56"/>
      <c r="L488" s="56" t="s">
        <v>627</v>
      </c>
      <c r="M488" s="56">
        <v>4.5999999999999996</v>
      </c>
      <c r="N488" s="56">
        <v>6</v>
      </c>
      <c r="O488" s="57">
        <v>27600</v>
      </c>
      <c r="P488" s="56">
        <v>0</v>
      </c>
      <c r="Q488" s="56">
        <v>0</v>
      </c>
      <c r="R488" s="56">
        <v>4.5999999999999996</v>
      </c>
      <c r="S488" s="56">
        <v>27.6</v>
      </c>
      <c r="T488" s="56">
        <v>0</v>
      </c>
      <c r="U488" s="56">
        <v>0</v>
      </c>
      <c r="V488" s="56">
        <v>4.5999999999999996</v>
      </c>
      <c r="W488" s="56">
        <v>27.6</v>
      </c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</row>
    <row r="489" spans="1:39" x14ac:dyDescent="0.4">
      <c r="A489" s="56"/>
      <c r="B489" s="59"/>
      <c r="C489" s="56"/>
      <c r="D489" s="56"/>
      <c r="E489" s="56"/>
      <c r="F489" s="57"/>
      <c r="G489" s="57"/>
      <c r="H489" s="57"/>
      <c r="I489" s="56"/>
      <c r="J489" s="56"/>
      <c r="K489" s="56"/>
      <c r="L489" s="56" t="s">
        <v>771</v>
      </c>
      <c r="M489" s="56"/>
      <c r="N489" s="56"/>
      <c r="O489" s="57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</row>
    <row r="490" spans="1:39" x14ac:dyDescent="0.4">
      <c r="A490" s="56"/>
      <c r="B490" s="59"/>
      <c r="C490" s="56"/>
      <c r="D490" s="56"/>
      <c r="E490" s="56"/>
      <c r="F490" s="57"/>
      <c r="G490" s="57"/>
      <c r="H490" s="57"/>
      <c r="I490" s="56"/>
      <c r="J490" s="56" t="s">
        <v>243</v>
      </c>
      <c r="K490" s="56"/>
      <c r="L490" s="56" t="s">
        <v>827</v>
      </c>
      <c r="M490" s="56">
        <v>300</v>
      </c>
      <c r="N490" s="56">
        <v>1</v>
      </c>
      <c r="O490" s="57">
        <v>300000</v>
      </c>
      <c r="P490" s="56">
        <v>0</v>
      </c>
      <c r="Q490" s="56">
        <v>0</v>
      </c>
      <c r="R490" s="56">
        <v>300</v>
      </c>
      <c r="S490" s="56">
        <v>300</v>
      </c>
      <c r="T490" s="56">
        <v>0</v>
      </c>
      <c r="U490" s="56">
        <v>0</v>
      </c>
      <c r="V490" s="56">
        <v>300</v>
      </c>
      <c r="W490" s="56">
        <v>300</v>
      </c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</row>
    <row r="491" spans="1:39" x14ac:dyDescent="0.4">
      <c r="A491" s="56"/>
      <c r="B491" s="59"/>
      <c r="C491" s="56"/>
      <c r="D491" s="56"/>
      <c r="E491" s="56"/>
      <c r="F491" s="57"/>
      <c r="G491" s="57"/>
      <c r="H491" s="57"/>
      <c r="I491" s="56"/>
      <c r="J491" s="56"/>
      <c r="K491" s="56" t="s">
        <v>628</v>
      </c>
      <c r="L491" s="56"/>
      <c r="M491" s="56"/>
      <c r="N491" s="56"/>
      <c r="O491" s="57">
        <v>2106680</v>
      </c>
      <c r="P491" s="56"/>
      <c r="Q491" s="56">
        <v>31</v>
      </c>
      <c r="R491" s="56"/>
      <c r="S491" s="56">
        <v>2075.6799999999998</v>
      </c>
      <c r="T491" s="56"/>
      <c r="U491" s="56">
        <v>31</v>
      </c>
      <c r="V491" s="56"/>
      <c r="W491" s="56">
        <v>2075.6799999999998</v>
      </c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</row>
    <row r="492" spans="1:39" x14ac:dyDescent="0.4">
      <c r="A492" s="56"/>
      <c r="B492" s="59"/>
      <c r="C492" s="56"/>
      <c r="D492" s="56"/>
      <c r="E492" s="56"/>
      <c r="F492" s="57"/>
      <c r="G492" s="57"/>
      <c r="H492" s="57"/>
      <c r="I492" s="56"/>
      <c r="J492" s="56"/>
      <c r="K492" s="56" t="s">
        <v>629</v>
      </c>
      <c r="L492" s="56"/>
      <c r="M492" s="56"/>
      <c r="N492" s="56"/>
      <c r="O492" s="57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</row>
    <row r="493" spans="1:39" x14ac:dyDescent="0.4">
      <c r="A493" s="56"/>
      <c r="B493" s="59"/>
      <c r="C493" s="56"/>
      <c r="D493" s="56"/>
      <c r="E493" s="56"/>
      <c r="F493" s="57"/>
      <c r="G493" s="57"/>
      <c r="H493" s="57"/>
      <c r="I493" s="56"/>
      <c r="J493" s="56"/>
      <c r="K493" s="56" t="s">
        <v>630</v>
      </c>
      <c r="L493" s="56"/>
      <c r="M493" s="56"/>
      <c r="N493" s="56"/>
      <c r="O493" s="57">
        <v>0</v>
      </c>
      <c r="P493" s="56"/>
      <c r="Q493" s="56">
        <v>0</v>
      </c>
      <c r="R493" s="56"/>
      <c r="S493" s="56">
        <v>0</v>
      </c>
      <c r="T493" s="56"/>
      <c r="U493" s="56">
        <v>0</v>
      </c>
      <c r="V493" s="56"/>
      <c r="W493" s="56">
        <v>0</v>
      </c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</row>
    <row r="494" spans="1:39" x14ac:dyDescent="0.4">
      <c r="A494" s="56"/>
      <c r="B494" s="59"/>
      <c r="C494" s="56"/>
      <c r="D494" s="56"/>
      <c r="E494" s="56"/>
      <c r="F494" s="57"/>
      <c r="G494" s="57"/>
      <c r="H494" s="57"/>
      <c r="I494" s="56"/>
      <c r="J494" s="56" t="s">
        <v>232</v>
      </c>
      <c r="K494" s="56"/>
      <c r="L494" s="56"/>
      <c r="M494" s="56"/>
      <c r="N494" s="56"/>
      <c r="O494" s="57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</row>
    <row r="495" spans="1:39" x14ac:dyDescent="0.4">
      <c r="A495" s="56"/>
      <c r="B495" s="59"/>
      <c r="C495" s="56"/>
      <c r="D495" s="56"/>
      <c r="E495" s="56"/>
      <c r="F495" s="57"/>
      <c r="G495" s="57"/>
      <c r="H495" s="57"/>
      <c r="I495" s="56"/>
      <c r="J495" s="56"/>
      <c r="K495" s="56" t="s">
        <v>286</v>
      </c>
      <c r="L495" s="56"/>
      <c r="M495" s="56"/>
      <c r="N495" s="56"/>
      <c r="O495" s="57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</row>
    <row r="496" spans="1:39" x14ac:dyDescent="0.4">
      <c r="A496" s="56"/>
      <c r="B496" s="59"/>
      <c r="C496" s="56"/>
      <c r="D496" s="56"/>
      <c r="E496" s="56"/>
      <c r="F496" s="57"/>
      <c r="G496" s="57"/>
      <c r="H496" s="57"/>
      <c r="I496" s="56"/>
      <c r="J496" s="56"/>
      <c r="K496" s="56" t="s">
        <v>286</v>
      </c>
      <c r="L496" s="56"/>
      <c r="M496" s="56"/>
      <c r="N496" s="56"/>
      <c r="O496" s="57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</row>
    <row r="497" spans="1:39" x14ac:dyDescent="0.4">
      <c r="A497" s="56"/>
      <c r="B497" s="59"/>
      <c r="C497" s="56"/>
      <c r="D497" s="56"/>
      <c r="E497" s="56"/>
      <c r="F497" s="57"/>
      <c r="G497" s="57"/>
      <c r="H497" s="57"/>
      <c r="I497" s="56"/>
      <c r="J497" s="56"/>
      <c r="K497" s="56"/>
      <c r="L497" s="56" t="s">
        <v>631</v>
      </c>
      <c r="M497" s="56"/>
      <c r="N497" s="56"/>
      <c r="O497" s="57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</row>
    <row r="498" spans="1:39" x14ac:dyDescent="0.4">
      <c r="A498" s="56"/>
      <c r="B498" s="59"/>
      <c r="C498" s="56"/>
      <c r="D498" s="56"/>
      <c r="E498" s="56"/>
      <c r="F498" s="57"/>
      <c r="G498" s="57"/>
      <c r="H498" s="57"/>
      <c r="I498" s="56"/>
      <c r="J498" s="56"/>
      <c r="K498" s="56"/>
      <c r="L498" s="56" t="s">
        <v>632</v>
      </c>
      <c r="M498" s="56">
        <v>124.1</v>
      </c>
      <c r="N498" s="56">
        <v>1</v>
      </c>
      <c r="O498" s="57">
        <v>124100</v>
      </c>
      <c r="P498" s="56">
        <v>0</v>
      </c>
      <c r="Q498" s="56">
        <v>0</v>
      </c>
      <c r="R498" s="56">
        <v>124.1</v>
      </c>
      <c r="S498" s="56">
        <v>124.1</v>
      </c>
      <c r="T498" s="56">
        <v>0</v>
      </c>
      <c r="U498" s="56">
        <v>0</v>
      </c>
      <c r="V498" s="56">
        <v>124.1</v>
      </c>
      <c r="W498" s="56">
        <v>124.1</v>
      </c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</row>
    <row r="499" spans="1:39" x14ac:dyDescent="0.4">
      <c r="A499" s="56"/>
      <c r="B499" s="59"/>
      <c r="C499" s="56"/>
      <c r="D499" s="56"/>
      <c r="E499" s="56"/>
      <c r="F499" s="57"/>
      <c r="G499" s="57"/>
      <c r="H499" s="57"/>
      <c r="I499" s="56"/>
      <c r="J499" s="56"/>
      <c r="K499" s="56"/>
      <c r="L499" s="56" t="s">
        <v>633</v>
      </c>
      <c r="M499" s="56">
        <v>187.3</v>
      </c>
      <c r="N499" s="56">
        <v>1</v>
      </c>
      <c r="O499" s="57">
        <v>187300</v>
      </c>
      <c r="P499" s="56">
        <v>4.5999999999999996</v>
      </c>
      <c r="Q499" s="56">
        <v>4.5999999999999996</v>
      </c>
      <c r="R499" s="56">
        <v>182.7</v>
      </c>
      <c r="S499" s="56">
        <v>182.7</v>
      </c>
      <c r="T499" s="56">
        <v>4.5999999999999996</v>
      </c>
      <c r="U499" s="56">
        <v>4.5999999999999996</v>
      </c>
      <c r="V499" s="56">
        <v>182.7</v>
      </c>
      <c r="W499" s="56">
        <v>182.7</v>
      </c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</row>
    <row r="500" spans="1:39" x14ac:dyDescent="0.4">
      <c r="A500" s="56"/>
      <c r="B500" s="59"/>
      <c r="C500" s="56"/>
      <c r="D500" s="56"/>
      <c r="E500" s="56"/>
      <c r="F500" s="57"/>
      <c r="G500" s="57"/>
      <c r="H500" s="57"/>
      <c r="I500" s="56"/>
      <c r="J500" s="56"/>
      <c r="K500" s="56"/>
      <c r="L500" s="56" t="s">
        <v>634</v>
      </c>
      <c r="M500" s="56">
        <v>23.1</v>
      </c>
      <c r="N500" s="56">
        <v>1</v>
      </c>
      <c r="O500" s="57">
        <v>23100</v>
      </c>
      <c r="P500" s="56">
        <v>0</v>
      </c>
      <c r="Q500" s="56">
        <v>0</v>
      </c>
      <c r="R500" s="56">
        <v>23.1</v>
      </c>
      <c r="S500" s="56">
        <v>23.1</v>
      </c>
      <c r="T500" s="56">
        <v>0</v>
      </c>
      <c r="U500" s="56">
        <v>0</v>
      </c>
      <c r="V500" s="56">
        <v>23.1</v>
      </c>
      <c r="W500" s="56">
        <v>23.1</v>
      </c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</row>
    <row r="501" spans="1:39" x14ac:dyDescent="0.4">
      <c r="A501" s="56"/>
      <c r="B501" s="59"/>
      <c r="C501" s="56"/>
      <c r="D501" s="56"/>
      <c r="E501" s="56"/>
      <c r="F501" s="57"/>
      <c r="G501" s="57"/>
      <c r="H501" s="57"/>
      <c r="I501" s="56"/>
      <c r="J501" s="56"/>
      <c r="K501" s="56"/>
      <c r="L501" s="56" t="s">
        <v>635</v>
      </c>
      <c r="M501" s="56">
        <v>1.8</v>
      </c>
      <c r="N501" s="56">
        <v>104</v>
      </c>
      <c r="O501" s="57">
        <v>187200</v>
      </c>
      <c r="P501" s="56">
        <v>0</v>
      </c>
      <c r="Q501" s="56">
        <v>0</v>
      </c>
      <c r="R501" s="56">
        <v>1.8</v>
      </c>
      <c r="S501" s="56">
        <v>187.2</v>
      </c>
      <c r="T501" s="56">
        <v>0</v>
      </c>
      <c r="U501" s="56">
        <v>0</v>
      </c>
      <c r="V501" s="56">
        <v>1.8</v>
      </c>
      <c r="W501" s="56">
        <v>187.2</v>
      </c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</row>
    <row r="502" spans="1:39" x14ac:dyDescent="0.4">
      <c r="A502" s="56"/>
      <c r="B502" s="59"/>
      <c r="C502" s="56"/>
      <c r="D502" s="56"/>
      <c r="E502" s="56"/>
      <c r="F502" s="57"/>
      <c r="G502" s="57"/>
      <c r="H502" s="57"/>
      <c r="I502" s="56"/>
      <c r="J502" s="56"/>
      <c r="K502" s="56"/>
      <c r="L502" s="56" t="s">
        <v>636</v>
      </c>
      <c r="M502" s="56">
        <v>11.2</v>
      </c>
      <c r="N502" s="56">
        <v>11</v>
      </c>
      <c r="O502" s="57">
        <v>123200</v>
      </c>
      <c r="P502" s="56">
        <v>0</v>
      </c>
      <c r="Q502" s="56">
        <v>0</v>
      </c>
      <c r="R502" s="56">
        <v>11.2</v>
      </c>
      <c r="S502" s="56">
        <v>123.2</v>
      </c>
      <c r="T502" s="56">
        <v>0</v>
      </c>
      <c r="U502" s="56">
        <v>0</v>
      </c>
      <c r="V502" s="56">
        <v>11.2</v>
      </c>
      <c r="W502" s="56">
        <v>123.2</v>
      </c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</row>
    <row r="503" spans="1:39" x14ac:dyDescent="0.4">
      <c r="A503" s="56"/>
      <c r="B503" s="59"/>
      <c r="C503" s="56"/>
      <c r="D503" s="56"/>
      <c r="E503" s="56"/>
      <c r="F503" s="57"/>
      <c r="G503" s="57"/>
      <c r="H503" s="57"/>
      <c r="I503" s="56"/>
      <c r="J503" s="56"/>
      <c r="K503" s="56"/>
      <c r="L503" s="56" t="s">
        <v>637</v>
      </c>
      <c r="M503" s="56"/>
      <c r="N503" s="56"/>
      <c r="O503" s="57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</row>
    <row r="504" spans="1:39" x14ac:dyDescent="0.4">
      <c r="A504" s="56"/>
      <c r="B504" s="59"/>
      <c r="C504" s="56"/>
      <c r="D504" s="56"/>
      <c r="E504" s="56"/>
      <c r="F504" s="57"/>
      <c r="G504" s="57"/>
      <c r="H504" s="57"/>
      <c r="I504" s="56"/>
      <c r="J504" s="56"/>
      <c r="K504" s="56"/>
      <c r="L504" s="56" t="s">
        <v>638</v>
      </c>
      <c r="M504" s="56">
        <v>161.69999999999999</v>
      </c>
      <c r="N504" s="56">
        <v>1</v>
      </c>
      <c r="O504" s="57">
        <v>161700</v>
      </c>
      <c r="P504" s="56">
        <v>12.8</v>
      </c>
      <c r="Q504" s="56">
        <v>12.8</v>
      </c>
      <c r="R504" s="56">
        <v>148.9</v>
      </c>
      <c r="S504" s="56">
        <v>148.9</v>
      </c>
      <c r="T504" s="56">
        <v>12.8</v>
      </c>
      <c r="U504" s="56">
        <v>12.8</v>
      </c>
      <c r="V504" s="56">
        <v>148.9</v>
      </c>
      <c r="W504" s="56">
        <v>148.9</v>
      </c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</row>
    <row r="505" spans="1:39" x14ac:dyDescent="0.4">
      <c r="A505" s="56"/>
      <c r="B505" s="59"/>
      <c r="C505" s="56"/>
      <c r="D505" s="56"/>
      <c r="E505" s="56"/>
      <c r="F505" s="57"/>
      <c r="G505" s="57"/>
      <c r="H505" s="57"/>
      <c r="I505" s="56"/>
      <c r="J505" s="56"/>
      <c r="K505" s="56"/>
      <c r="L505" s="56" t="s">
        <v>639</v>
      </c>
      <c r="M505" s="56">
        <v>1.4</v>
      </c>
      <c r="N505" s="56">
        <v>45</v>
      </c>
      <c r="O505" s="57">
        <v>63000</v>
      </c>
      <c r="P505" s="56">
        <v>0</v>
      </c>
      <c r="Q505" s="56">
        <v>0</v>
      </c>
      <c r="R505" s="56">
        <v>1.4</v>
      </c>
      <c r="S505" s="56">
        <v>63</v>
      </c>
      <c r="T505" s="56">
        <v>0</v>
      </c>
      <c r="U505" s="56">
        <v>0</v>
      </c>
      <c r="V505" s="56">
        <v>1.4</v>
      </c>
      <c r="W505" s="56">
        <v>63</v>
      </c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</row>
    <row r="506" spans="1:39" x14ac:dyDescent="0.4">
      <c r="A506" s="56"/>
      <c r="B506" s="59"/>
      <c r="C506" s="56"/>
      <c r="D506" s="56"/>
      <c r="E506" s="56"/>
      <c r="F506" s="57"/>
      <c r="G506" s="57"/>
      <c r="H506" s="57"/>
      <c r="I506" s="56"/>
      <c r="J506" s="56"/>
      <c r="K506" s="56"/>
      <c r="L506" s="56" t="s">
        <v>640</v>
      </c>
      <c r="M506" s="56">
        <v>0.2</v>
      </c>
      <c r="N506" s="56">
        <v>3</v>
      </c>
      <c r="O506" s="57">
        <v>600</v>
      </c>
      <c r="P506" s="56">
        <v>0</v>
      </c>
      <c r="Q506" s="56">
        <v>0</v>
      </c>
      <c r="R506" s="56">
        <v>0.2</v>
      </c>
      <c r="S506" s="56">
        <v>0.6</v>
      </c>
      <c r="T506" s="56">
        <v>0</v>
      </c>
      <c r="U506" s="56">
        <v>0</v>
      </c>
      <c r="V506" s="56">
        <v>0.2</v>
      </c>
      <c r="W506" s="56">
        <v>0.6</v>
      </c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</row>
    <row r="507" spans="1:39" x14ac:dyDescent="0.4">
      <c r="A507" s="56"/>
      <c r="B507" s="59"/>
      <c r="C507" s="56"/>
      <c r="D507" s="56"/>
      <c r="E507" s="56"/>
      <c r="F507" s="57"/>
      <c r="G507" s="57"/>
      <c r="H507" s="57"/>
      <c r="I507" s="56"/>
      <c r="J507" s="56"/>
      <c r="K507" s="56"/>
      <c r="L507" s="56" t="s">
        <v>641</v>
      </c>
      <c r="M507" s="56"/>
      <c r="N507" s="56"/>
      <c r="O507" s="57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</row>
    <row r="508" spans="1:39" x14ac:dyDescent="0.4">
      <c r="A508" s="56"/>
      <c r="B508" s="59"/>
      <c r="C508" s="56"/>
      <c r="D508" s="56"/>
      <c r="E508" s="56"/>
      <c r="F508" s="57"/>
      <c r="G508" s="57"/>
      <c r="H508" s="57"/>
      <c r="I508" s="56"/>
      <c r="J508" s="56"/>
      <c r="K508" s="56" t="s">
        <v>286</v>
      </c>
      <c r="L508" s="56"/>
      <c r="M508" s="56"/>
      <c r="N508" s="56"/>
      <c r="O508" s="57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</row>
    <row r="509" spans="1:39" x14ac:dyDescent="0.4">
      <c r="A509" s="56"/>
      <c r="B509" s="59"/>
      <c r="C509" s="56"/>
      <c r="D509" s="56"/>
      <c r="E509" s="56"/>
      <c r="F509" s="57"/>
      <c r="G509" s="57"/>
      <c r="H509" s="57"/>
      <c r="I509" s="56"/>
      <c r="J509" s="56"/>
      <c r="K509" s="56"/>
      <c r="L509" s="56" t="s">
        <v>642</v>
      </c>
      <c r="M509" s="56">
        <v>1.1000000000000001</v>
      </c>
      <c r="N509" s="56">
        <v>45</v>
      </c>
      <c r="O509" s="57">
        <v>49500</v>
      </c>
      <c r="P509" s="56">
        <v>0</v>
      </c>
      <c r="Q509" s="56">
        <v>0</v>
      </c>
      <c r="R509" s="56">
        <v>1.1000000000000001</v>
      </c>
      <c r="S509" s="56">
        <v>49.5</v>
      </c>
      <c r="T509" s="56">
        <v>0</v>
      </c>
      <c r="U509" s="56">
        <v>0</v>
      </c>
      <c r="V509" s="56">
        <v>1.1000000000000001</v>
      </c>
      <c r="W509" s="56">
        <v>49.5</v>
      </c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</row>
    <row r="510" spans="1:39" x14ac:dyDescent="0.4">
      <c r="A510" s="56"/>
      <c r="B510" s="59"/>
      <c r="C510" s="56"/>
      <c r="D510" s="56"/>
      <c r="E510" s="56"/>
      <c r="F510" s="57"/>
      <c r="G510" s="57"/>
      <c r="H510" s="57"/>
      <c r="I510" s="56"/>
      <c r="J510" s="56"/>
      <c r="K510" s="56"/>
      <c r="L510" s="56" t="s">
        <v>643</v>
      </c>
      <c r="M510" s="56">
        <v>30</v>
      </c>
      <c r="N510" s="56">
        <v>1</v>
      </c>
      <c r="O510" s="57">
        <v>30000</v>
      </c>
      <c r="P510" s="56">
        <v>0</v>
      </c>
      <c r="Q510" s="56">
        <v>0</v>
      </c>
      <c r="R510" s="56">
        <v>30</v>
      </c>
      <c r="S510" s="56">
        <v>30</v>
      </c>
      <c r="T510" s="56">
        <v>0</v>
      </c>
      <c r="U510" s="56">
        <v>0</v>
      </c>
      <c r="V510" s="56">
        <v>30</v>
      </c>
      <c r="W510" s="56">
        <v>30</v>
      </c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</row>
    <row r="511" spans="1:39" x14ac:dyDescent="0.4">
      <c r="A511" s="56"/>
      <c r="B511" s="59"/>
      <c r="C511" s="56"/>
      <c r="D511" s="56"/>
      <c r="E511" s="56"/>
      <c r="F511" s="57"/>
      <c r="G511" s="57"/>
      <c r="H511" s="57"/>
      <c r="I511" s="56"/>
      <c r="J511" s="56"/>
      <c r="K511" s="56"/>
      <c r="L511" s="56" t="s">
        <v>644</v>
      </c>
      <c r="M511" s="56">
        <v>29</v>
      </c>
      <c r="N511" s="56">
        <v>1</v>
      </c>
      <c r="O511" s="57">
        <v>29000</v>
      </c>
      <c r="P511" s="56">
        <v>0</v>
      </c>
      <c r="Q511" s="56">
        <v>0</v>
      </c>
      <c r="R511" s="56">
        <v>29</v>
      </c>
      <c r="S511" s="56">
        <v>29</v>
      </c>
      <c r="T511" s="56">
        <v>0</v>
      </c>
      <c r="U511" s="56">
        <v>0</v>
      </c>
      <c r="V511" s="56">
        <v>29</v>
      </c>
      <c r="W511" s="56">
        <v>29</v>
      </c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</row>
    <row r="512" spans="1:39" x14ac:dyDescent="0.4">
      <c r="A512" s="56"/>
      <c r="B512" s="59"/>
      <c r="C512" s="56"/>
      <c r="D512" s="56"/>
      <c r="E512" s="56"/>
      <c r="F512" s="57"/>
      <c r="G512" s="57"/>
      <c r="H512" s="57"/>
      <c r="I512" s="56"/>
      <c r="J512" s="56"/>
      <c r="K512" s="56"/>
      <c r="L512" s="56" t="s">
        <v>645</v>
      </c>
      <c r="M512" s="56">
        <v>20</v>
      </c>
      <c r="N512" s="56">
        <v>1</v>
      </c>
      <c r="O512" s="57">
        <v>20000</v>
      </c>
      <c r="P512" s="56">
        <v>0</v>
      </c>
      <c r="Q512" s="56">
        <v>0</v>
      </c>
      <c r="R512" s="56">
        <v>20</v>
      </c>
      <c r="S512" s="56">
        <v>20</v>
      </c>
      <c r="T512" s="56">
        <v>0</v>
      </c>
      <c r="U512" s="56">
        <v>0</v>
      </c>
      <c r="V512" s="56">
        <v>20</v>
      </c>
      <c r="W512" s="56">
        <v>20</v>
      </c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</row>
    <row r="513" spans="1:39" x14ac:dyDescent="0.4">
      <c r="A513" s="56"/>
      <c r="B513" s="59"/>
      <c r="C513" s="56"/>
      <c r="D513" s="56"/>
      <c r="E513" s="56"/>
      <c r="F513" s="57"/>
      <c r="G513" s="57"/>
      <c r="H513" s="57"/>
      <c r="I513" s="56"/>
      <c r="J513" s="56"/>
      <c r="K513" s="56"/>
      <c r="L513" s="56" t="s">
        <v>646</v>
      </c>
      <c r="M513" s="56">
        <v>31</v>
      </c>
      <c r="N513" s="56">
        <v>1</v>
      </c>
      <c r="O513" s="57">
        <v>31000</v>
      </c>
      <c r="P513" s="56">
        <v>0</v>
      </c>
      <c r="Q513" s="56">
        <v>0</v>
      </c>
      <c r="R513" s="56">
        <v>31</v>
      </c>
      <c r="S513" s="56">
        <v>31</v>
      </c>
      <c r="T513" s="56">
        <v>0</v>
      </c>
      <c r="U513" s="56">
        <v>0</v>
      </c>
      <c r="V513" s="56">
        <v>31</v>
      </c>
      <c r="W513" s="56">
        <v>31</v>
      </c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</row>
    <row r="514" spans="1:39" x14ac:dyDescent="0.4">
      <c r="A514" s="56"/>
      <c r="B514" s="59"/>
      <c r="C514" s="56"/>
      <c r="D514" s="56"/>
      <c r="E514" s="56"/>
      <c r="F514" s="57"/>
      <c r="G514" s="57"/>
      <c r="H514" s="57"/>
      <c r="I514" s="56"/>
      <c r="J514" s="56"/>
      <c r="K514" s="56"/>
      <c r="L514" s="56" t="s">
        <v>647</v>
      </c>
      <c r="M514" s="56">
        <v>0.25</v>
      </c>
      <c r="N514" s="56">
        <v>104</v>
      </c>
      <c r="O514" s="57">
        <v>26000</v>
      </c>
      <c r="P514" s="56">
        <v>0</v>
      </c>
      <c r="Q514" s="56">
        <v>0</v>
      </c>
      <c r="R514" s="56">
        <v>0.25</v>
      </c>
      <c r="S514" s="56">
        <v>26</v>
      </c>
      <c r="T514" s="56">
        <v>0</v>
      </c>
      <c r="U514" s="56">
        <v>0</v>
      </c>
      <c r="V514" s="56">
        <v>0.25</v>
      </c>
      <c r="W514" s="56">
        <v>26</v>
      </c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</row>
    <row r="515" spans="1:39" x14ac:dyDescent="0.4">
      <c r="A515" s="56"/>
      <c r="B515" s="59"/>
      <c r="C515" s="56"/>
      <c r="D515" s="56"/>
      <c r="E515" s="56"/>
      <c r="F515" s="57"/>
      <c r="G515" s="57"/>
      <c r="H515" s="57"/>
      <c r="I515" s="56"/>
      <c r="J515" s="56" t="s">
        <v>243</v>
      </c>
      <c r="K515" s="56"/>
      <c r="L515" s="56" t="s">
        <v>648</v>
      </c>
      <c r="M515" s="56">
        <v>38</v>
      </c>
      <c r="N515" s="56">
        <v>1</v>
      </c>
      <c r="O515" s="57">
        <v>38000</v>
      </c>
      <c r="P515" s="56">
        <v>0</v>
      </c>
      <c r="Q515" s="56">
        <v>0</v>
      </c>
      <c r="R515" s="56">
        <v>38</v>
      </c>
      <c r="S515" s="56">
        <v>38</v>
      </c>
      <c r="T515" s="56">
        <v>0</v>
      </c>
      <c r="U515" s="56">
        <v>0</v>
      </c>
      <c r="V515" s="56">
        <v>38</v>
      </c>
      <c r="W515" s="56">
        <v>38</v>
      </c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</row>
    <row r="516" spans="1:39" x14ac:dyDescent="0.4">
      <c r="A516" s="56"/>
      <c r="B516" s="59"/>
      <c r="C516" s="56"/>
      <c r="D516" s="56"/>
      <c r="E516" s="56"/>
      <c r="F516" s="57"/>
      <c r="G516" s="57"/>
      <c r="H516" s="57"/>
      <c r="I516" s="56"/>
      <c r="J516" s="56"/>
      <c r="K516" s="56" t="s">
        <v>649</v>
      </c>
      <c r="L516" s="56"/>
      <c r="M516" s="56"/>
      <c r="N516" s="56"/>
      <c r="O516" s="57">
        <v>1093700</v>
      </c>
      <c r="P516" s="56"/>
      <c r="Q516" s="56">
        <v>17.399999999999999</v>
      </c>
      <c r="R516" s="56"/>
      <c r="S516" s="56">
        <v>1076.3</v>
      </c>
      <c r="T516" s="56"/>
      <c r="U516" s="56">
        <v>17.399999999999999</v>
      </c>
      <c r="V516" s="56"/>
      <c r="W516" s="56">
        <v>1076.3</v>
      </c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</row>
    <row r="517" spans="1:39" x14ac:dyDescent="0.4">
      <c r="A517" s="56"/>
      <c r="B517" s="59"/>
      <c r="C517" s="56"/>
      <c r="D517" s="56"/>
      <c r="E517" s="56"/>
      <c r="F517" s="57"/>
      <c r="G517" s="57"/>
      <c r="H517" s="57"/>
      <c r="I517" s="56"/>
      <c r="J517" s="56" t="s">
        <v>76</v>
      </c>
      <c r="K517" s="56"/>
      <c r="L517" s="56"/>
      <c r="M517" s="56"/>
      <c r="N517" s="56"/>
      <c r="O517" s="57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</row>
    <row r="518" spans="1:39" x14ac:dyDescent="0.4">
      <c r="A518" s="56"/>
      <c r="B518" s="59"/>
      <c r="C518" s="56"/>
      <c r="D518" s="56"/>
      <c r="E518" s="56"/>
      <c r="F518" s="57"/>
      <c r="G518" s="57"/>
      <c r="H518" s="57"/>
      <c r="I518" s="56"/>
      <c r="J518" s="56"/>
      <c r="K518" s="56" t="s">
        <v>650</v>
      </c>
      <c r="L518" s="56"/>
      <c r="M518" s="56"/>
      <c r="N518" s="56"/>
      <c r="O518" s="57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</row>
    <row r="519" spans="1:39" x14ac:dyDescent="0.4">
      <c r="A519" s="56"/>
      <c r="B519" s="59"/>
      <c r="C519" s="56"/>
      <c r="D519" s="56"/>
      <c r="E519" s="56"/>
      <c r="F519" s="57"/>
      <c r="G519" s="57"/>
      <c r="H519" s="57"/>
      <c r="I519" s="56"/>
      <c r="J519" s="56"/>
      <c r="K519" s="56"/>
      <c r="L519" s="56" t="s">
        <v>651</v>
      </c>
      <c r="M519" s="56"/>
      <c r="N519" s="56"/>
      <c r="O519" s="57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</row>
    <row r="520" spans="1:39" x14ac:dyDescent="0.4">
      <c r="A520" s="56"/>
      <c r="B520" s="59"/>
      <c r="C520" s="56"/>
      <c r="D520" s="56"/>
      <c r="E520" s="56"/>
      <c r="F520" s="57"/>
      <c r="G520" s="57"/>
      <c r="H520" s="57"/>
      <c r="I520" s="56"/>
      <c r="J520" s="56"/>
      <c r="K520" s="56"/>
      <c r="L520" s="56" t="s">
        <v>652</v>
      </c>
      <c r="M520" s="56">
        <v>1.6</v>
      </c>
      <c r="N520" s="56">
        <v>104</v>
      </c>
      <c r="O520" s="57">
        <v>166400</v>
      </c>
      <c r="P520" s="56">
        <v>0</v>
      </c>
      <c r="Q520" s="56">
        <v>0</v>
      </c>
      <c r="R520" s="56">
        <v>1.6</v>
      </c>
      <c r="S520" s="56">
        <v>166.4</v>
      </c>
      <c r="T520" s="56">
        <v>0</v>
      </c>
      <c r="U520" s="56">
        <v>0</v>
      </c>
      <c r="V520" s="56">
        <v>1.6</v>
      </c>
      <c r="W520" s="56">
        <v>166.4</v>
      </c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</row>
    <row r="521" spans="1:39" x14ac:dyDescent="0.4">
      <c r="A521" s="56"/>
      <c r="B521" s="59"/>
      <c r="C521" s="56"/>
      <c r="D521" s="56"/>
      <c r="E521" s="56"/>
      <c r="F521" s="57"/>
      <c r="G521" s="57"/>
      <c r="H521" s="57"/>
      <c r="I521" s="56"/>
      <c r="J521" s="56"/>
      <c r="K521" s="56"/>
      <c r="L521" s="56" t="s">
        <v>653</v>
      </c>
      <c r="M521" s="56">
        <v>21</v>
      </c>
      <c r="N521" s="56">
        <v>1</v>
      </c>
      <c r="O521" s="57">
        <v>21000</v>
      </c>
      <c r="P521" s="56">
        <v>0</v>
      </c>
      <c r="Q521" s="56">
        <v>0</v>
      </c>
      <c r="R521" s="56">
        <v>21</v>
      </c>
      <c r="S521" s="56">
        <v>21</v>
      </c>
      <c r="T521" s="56">
        <v>0</v>
      </c>
      <c r="U521" s="56">
        <v>0</v>
      </c>
      <c r="V521" s="56">
        <v>21</v>
      </c>
      <c r="W521" s="56">
        <v>21</v>
      </c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</row>
    <row r="522" spans="1:39" x14ac:dyDescent="0.4">
      <c r="A522" s="56"/>
      <c r="B522" s="59"/>
      <c r="C522" s="56"/>
      <c r="D522" s="56"/>
      <c r="E522" s="56"/>
      <c r="F522" s="57"/>
      <c r="G522" s="57"/>
      <c r="H522" s="57"/>
      <c r="I522" s="56"/>
      <c r="J522" s="56"/>
      <c r="K522" s="56"/>
      <c r="L522" s="56" t="s">
        <v>654</v>
      </c>
      <c r="M522" s="56">
        <v>3.5</v>
      </c>
      <c r="N522" s="56">
        <v>11</v>
      </c>
      <c r="O522" s="57">
        <v>38500</v>
      </c>
      <c r="P522" s="56">
        <v>0</v>
      </c>
      <c r="Q522" s="56">
        <v>0</v>
      </c>
      <c r="R522" s="56">
        <v>3.5</v>
      </c>
      <c r="S522" s="56">
        <v>38.5</v>
      </c>
      <c r="T522" s="56">
        <v>0</v>
      </c>
      <c r="U522" s="56">
        <v>0</v>
      </c>
      <c r="V522" s="56">
        <v>3.5</v>
      </c>
      <c r="W522" s="56">
        <v>38.5</v>
      </c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</row>
    <row r="523" spans="1:39" x14ac:dyDescent="0.4">
      <c r="A523" s="56"/>
      <c r="B523" s="59"/>
      <c r="C523" s="56"/>
      <c r="D523" s="56"/>
      <c r="E523" s="56"/>
      <c r="F523" s="57"/>
      <c r="G523" s="57"/>
      <c r="H523" s="57"/>
      <c r="I523" s="56"/>
      <c r="J523" s="56"/>
      <c r="K523" s="56" t="s">
        <v>655</v>
      </c>
      <c r="L523" s="56"/>
      <c r="M523" s="56"/>
      <c r="N523" s="56"/>
      <c r="O523" s="57">
        <v>225900</v>
      </c>
      <c r="P523" s="56"/>
      <c r="Q523" s="56">
        <v>0</v>
      </c>
      <c r="R523" s="56"/>
      <c r="S523" s="56">
        <v>225.9</v>
      </c>
      <c r="T523" s="56"/>
      <c r="U523" s="56">
        <v>0</v>
      </c>
      <c r="V523" s="56"/>
      <c r="W523" s="56">
        <v>225.9</v>
      </c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</row>
    <row r="524" spans="1:39" x14ac:dyDescent="0.4">
      <c r="A524" s="56"/>
      <c r="B524" s="59"/>
      <c r="C524" s="56"/>
      <c r="D524" s="56"/>
      <c r="E524" s="56"/>
      <c r="F524" s="57"/>
      <c r="G524" s="57"/>
      <c r="H524" s="57"/>
      <c r="I524" s="56"/>
      <c r="J524" s="56"/>
      <c r="K524" s="56" t="s">
        <v>656</v>
      </c>
      <c r="L524" s="56"/>
      <c r="M524" s="56"/>
      <c r="N524" s="56"/>
      <c r="O524" s="57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</row>
    <row r="525" spans="1:39" x14ac:dyDescent="0.4">
      <c r="A525" s="56"/>
      <c r="B525" s="59"/>
      <c r="C525" s="56"/>
      <c r="D525" s="56"/>
      <c r="E525" s="56"/>
      <c r="F525" s="57"/>
      <c r="G525" s="57"/>
      <c r="H525" s="57"/>
      <c r="I525" s="56"/>
      <c r="J525" s="56"/>
      <c r="K525" s="56"/>
      <c r="L525" s="56" t="s">
        <v>657</v>
      </c>
      <c r="M525" s="56"/>
      <c r="N525" s="56"/>
      <c r="O525" s="57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</row>
    <row r="526" spans="1:39" x14ac:dyDescent="0.4">
      <c r="A526" s="56"/>
      <c r="B526" s="59"/>
      <c r="C526" s="56"/>
      <c r="D526" s="56"/>
      <c r="E526" s="56"/>
      <c r="F526" s="57"/>
      <c r="G526" s="57"/>
      <c r="H526" s="57"/>
      <c r="I526" s="56"/>
      <c r="J526" s="56"/>
      <c r="K526" s="56"/>
      <c r="L526" s="56" t="s">
        <v>658</v>
      </c>
      <c r="M526" s="56">
        <v>37</v>
      </c>
      <c r="N526" s="56">
        <v>3</v>
      </c>
      <c r="O526" s="57">
        <v>111000</v>
      </c>
      <c r="P526" s="56">
        <v>0</v>
      </c>
      <c r="Q526" s="56">
        <v>0</v>
      </c>
      <c r="R526" s="56">
        <v>37</v>
      </c>
      <c r="S526" s="56">
        <v>111</v>
      </c>
      <c r="T526" s="56">
        <v>0</v>
      </c>
      <c r="U526" s="56">
        <v>0</v>
      </c>
      <c r="V526" s="56">
        <v>37</v>
      </c>
      <c r="W526" s="56">
        <v>111</v>
      </c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</row>
    <row r="527" spans="1:39" x14ac:dyDescent="0.4">
      <c r="A527" s="56"/>
      <c r="B527" s="59"/>
      <c r="C527" s="56"/>
      <c r="D527" s="56"/>
      <c r="E527" s="56"/>
      <c r="F527" s="57"/>
      <c r="G527" s="57"/>
      <c r="H527" s="57"/>
      <c r="I527" s="56"/>
      <c r="J527" s="56"/>
      <c r="K527" s="56"/>
      <c r="L527" s="56" t="s">
        <v>659</v>
      </c>
      <c r="M527" s="56">
        <v>26</v>
      </c>
      <c r="N527" s="56">
        <v>1</v>
      </c>
      <c r="O527" s="57">
        <v>26000</v>
      </c>
      <c r="P527" s="56">
        <v>0</v>
      </c>
      <c r="Q527" s="56">
        <v>0</v>
      </c>
      <c r="R527" s="56">
        <v>26</v>
      </c>
      <c r="S527" s="56">
        <v>26</v>
      </c>
      <c r="T527" s="56">
        <v>0</v>
      </c>
      <c r="U527" s="56">
        <v>0</v>
      </c>
      <c r="V527" s="56">
        <v>26</v>
      </c>
      <c r="W527" s="56">
        <v>26</v>
      </c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</row>
    <row r="528" spans="1:39" x14ac:dyDescent="0.4">
      <c r="A528" s="56"/>
      <c r="B528" s="59"/>
      <c r="C528" s="56"/>
      <c r="D528" s="56"/>
      <c r="E528" s="56"/>
      <c r="F528" s="57"/>
      <c r="G528" s="57"/>
      <c r="H528" s="57"/>
      <c r="I528" s="56"/>
      <c r="J528" s="56"/>
      <c r="K528" s="56"/>
      <c r="L528" s="56" t="s">
        <v>660</v>
      </c>
      <c r="M528" s="56">
        <v>74</v>
      </c>
      <c r="N528" s="56">
        <v>1</v>
      </c>
      <c r="O528" s="57">
        <v>74000</v>
      </c>
      <c r="P528" s="56">
        <v>0</v>
      </c>
      <c r="Q528" s="56">
        <v>0</v>
      </c>
      <c r="R528" s="56">
        <v>74</v>
      </c>
      <c r="S528" s="56">
        <v>74</v>
      </c>
      <c r="T528" s="56">
        <v>0</v>
      </c>
      <c r="U528" s="56">
        <v>0</v>
      </c>
      <c r="V528" s="56">
        <v>74</v>
      </c>
      <c r="W528" s="56">
        <v>74</v>
      </c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</row>
    <row r="529" spans="1:39" x14ac:dyDescent="0.4">
      <c r="A529" s="56"/>
      <c r="B529" s="59"/>
      <c r="C529" s="56"/>
      <c r="D529" s="56"/>
      <c r="E529" s="56"/>
      <c r="F529" s="57"/>
      <c r="G529" s="57"/>
      <c r="H529" s="57"/>
      <c r="I529" s="56"/>
      <c r="J529" s="56"/>
      <c r="K529" s="56"/>
      <c r="L529" s="56" t="s">
        <v>661</v>
      </c>
      <c r="M529" s="56">
        <v>9.3000000000000007</v>
      </c>
      <c r="N529" s="56">
        <v>45</v>
      </c>
      <c r="O529" s="57">
        <v>418500</v>
      </c>
      <c r="P529" s="56">
        <v>0</v>
      </c>
      <c r="Q529" s="56">
        <v>0</v>
      </c>
      <c r="R529" s="56">
        <v>9.3000000000000007</v>
      </c>
      <c r="S529" s="56">
        <v>418.5</v>
      </c>
      <c r="T529" s="56">
        <v>0</v>
      </c>
      <c r="U529" s="56">
        <v>0</v>
      </c>
      <c r="V529" s="56">
        <v>9.3000000000000007</v>
      </c>
      <c r="W529" s="56">
        <v>418.5</v>
      </c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</row>
    <row r="530" spans="1:39" x14ac:dyDescent="0.4">
      <c r="A530" s="56"/>
      <c r="B530" s="59"/>
      <c r="C530" s="56"/>
      <c r="D530" s="56"/>
      <c r="E530" s="56"/>
      <c r="F530" s="57"/>
      <c r="G530" s="57"/>
      <c r="H530" s="57"/>
      <c r="I530" s="56"/>
      <c r="J530" s="56"/>
      <c r="K530" s="56"/>
      <c r="L530" s="56" t="s">
        <v>662</v>
      </c>
      <c r="M530" s="56">
        <v>120</v>
      </c>
      <c r="N530" s="56">
        <v>1</v>
      </c>
      <c r="O530" s="57">
        <v>120000</v>
      </c>
      <c r="P530" s="56">
        <v>0</v>
      </c>
      <c r="Q530" s="56">
        <v>0</v>
      </c>
      <c r="R530" s="56">
        <v>120</v>
      </c>
      <c r="S530" s="56">
        <v>120</v>
      </c>
      <c r="T530" s="56">
        <v>0</v>
      </c>
      <c r="U530" s="56">
        <v>0</v>
      </c>
      <c r="V530" s="56">
        <v>120</v>
      </c>
      <c r="W530" s="56">
        <v>120</v>
      </c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</row>
    <row r="531" spans="1:39" x14ac:dyDescent="0.4">
      <c r="A531" s="56"/>
      <c r="B531" s="59"/>
      <c r="C531" s="56"/>
      <c r="D531" s="56"/>
      <c r="E531" s="56"/>
      <c r="F531" s="57"/>
      <c r="G531" s="57"/>
      <c r="H531" s="57"/>
      <c r="I531" s="56"/>
      <c r="J531" s="56"/>
      <c r="K531" s="56"/>
      <c r="L531" s="56" t="s">
        <v>982</v>
      </c>
      <c r="M531" s="56">
        <v>48.6</v>
      </c>
      <c r="N531" s="56">
        <v>1</v>
      </c>
      <c r="O531" s="57">
        <v>48600</v>
      </c>
      <c r="P531" s="56">
        <v>0</v>
      </c>
      <c r="Q531" s="56">
        <v>0</v>
      </c>
      <c r="R531" s="56">
        <v>48.6</v>
      </c>
      <c r="S531" s="56">
        <v>48.6</v>
      </c>
      <c r="T531" s="56">
        <v>0</v>
      </c>
      <c r="U531" s="56">
        <v>0</v>
      </c>
      <c r="V531" s="56">
        <v>48.6</v>
      </c>
      <c r="W531" s="56">
        <v>48.6</v>
      </c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</row>
    <row r="532" spans="1:39" x14ac:dyDescent="0.4">
      <c r="A532" s="56"/>
      <c r="B532" s="59"/>
      <c r="C532" s="56"/>
      <c r="D532" s="56"/>
      <c r="E532" s="56"/>
      <c r="F532" s="57"/>
      <c r="G532" s="57"/>
      <c r="H532" s="57"/>
      <c r="I532" s="56"/>
      <c r="J532" s="56"/>
      <c r="K532" s="56" t="s">
        <v>663</v>
      </c>
      <c r="L532" s="56"/>
      <c r="M532" s="56"/>
      <c r="N532" s="56"/>
      <c r="O532" s="57">
        <v>798100</v>
      </c>
      <c r="P532" s="56"/>
      <c r="Q532" s="56">
        <v>0</v>
      </c>
      <c r="R532" s="56"/>
      <c r="S532" s="56">
        <v>798.1</v>
      </c>
      <c r="T532" s="56"/>
      <c r="U532" s="56">
        <v>0</v>
      </c>
      <c r="V532" s="56"/>
      <c r="W532" s="56">
        <v>798.1</v>
      </c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</row>
    <row r="533" spans="1:39" x14ac:dyDescent="0.4">
      <c r="A533" s="56"/>
      <c r="B533" s="59"/>
      <c r="C533" s="56"/>
      <c r="D533" s="56"/>
      <c r="E533" s="56"/>
      <c r="F533" s="57"/>
      <c r="G533" s="57"/>
      <c r="H533" s="57"/>
      <c r="I533" s="56"/>
      <c r="J533" s="56"/>
      <c r="K533" s="56" t="s">
        <v>664</v>
      </c>
      <c r="L533" s="56"/>
      <c r="M533" s="56"/>
      <c r="N533" s="56"/>
      <c r="O533" s="57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</row>
    <row r="534" spans="1:39" x14ac:dyDescent="0.4">
      <c r="A534" s="56"/>
      <c r="B534" s="59"/>
      <c r="C534" s="56"/>
      <c r="D534" s="56"/>
      <c r="E534" s="56"/>
      <c r="F534" s="57"/>
      <c r="G534" s="57"/>
      <c r="H534" s="57"/>
      <c r="I534" s="56"/>
      <c r="J534" s="56"/>
      <c r="K534" s="56"/>
      <c r="L534" s="56" t="s">
        <v>665</v>
      </c>
      <c r="M534" s="56"/>
      <c r="N534" s="56"/>
      <c r="O534" s="57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</row>
    <row r="535" spans="1:39" x14ac:dyDescent="0.4">
      <c r="A535" s="56"/>
      <c r="B535" s="59"/>
      <c r="C535" s="56"/>
      <c r="D535" s="56"/>
      <c r="E535" s="56"/>
      <c r="F535" s="57"/>
      <c r="G535" s="57"/>
      <c r="H535" s="57"/>
      <c r="I535" s="56"/>
      <c r="J535" s="56"/>
      <c r="K535" s="56"/>
      <c r="L535" s="56" t="s">
        <v>666</v>
      </c>
      <c r="M535" s="56">
        <v>37</v>
      </c>
      <c r="N535" s="56">
        <v>3</v>
      </c>
      <c r="O535" s="57">
        <v>111000</v>
      </c>
      <c r="P535" s="56">
        <v>0</v>
      </c>
      <c r="Q535" s="56">
        <v>0</v>
      </c>
      <c r="R535" s="56">
        <v>37</v>
      </c>
      <c r="S535" s="56">
        <v>111</v>
      </c>
      <c r="T535" s="56">
        <v>0</v>
      </c>
      <c r="U535" s="56">
        <v>0</v>
      </c>
      <c r="V535" s="56">
        <v>37</v>
      </c>
      <c r="W535" s="56">
        <v>111</v>
      </c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</row>
    <row r="536" spans="1:39" x14ac:dyDescent="0.4">
      <c r="A536" s="56"/>
      <c r="B536" s="59"/>
      <c r="C536" s="56"/>
      <c r="D536" s="56"/>
      <c r="E536" s="56"/>
      <c r="F536" s="57"/>
      <c r="G536" s="57"/>
      <c r="H536" s="57"/>
      <c r="I536" s="56"/>
      <c r="J536" s="56"/>
      <c r="K536" s="56"/>
      <c r="L536" s="56" t="s">
        <v>667</v>
      </c>
      <c r="M536" s="56">
        <v>12</v>
      </c>
      <c r="N536" s="56">
        <v>1</v>
      </c>
      <c r="O536" s="57">
        <v>12000</v>
      </c>
      <c r="P536" s="56">
        <v>0</v>
      </c>
      <c r="Q536" s="56">
        <v>0</v>
      </c>
      <c r="R536" s="56">
        <v>12</v>
      </c>
      <c r="S536" s="56">
        <v>12</v>
      </c>
      <c r="T536" s="56">
        <v>0</v>
      </c>
      <c r="U536" s="56">
        <v>0</v>
      </c>
      <c r="V536" s="56">
        <v>12</v>
      </c>
      <c r="W536" s="56">
        <v>12</v>
      </c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</row>
    <row r="537" spans="1:39" x14ac:dyDescent="0.4">
      <c r="A537" s="56"/>
      <c r="B537" s="59"/>
      <c r="C537" s="56"/>
      <c r="D537" s="56"/>
      <c r="E537" s="56"/>
      <c r="F537" s="57"/>
      <c r="G537" s="57"/>
      <c r="H537" s="57"/>
      <c r="I537" s="56"/>
      <c r="J537" s="56"/>
      <c r="K537" s="56"/>
      <c r="L537" s="56" t="s">
        <v>668</v>
      </c>
      <c r="M537" s="56">
        <v>45</v>
      </c>
      <c r="N537" s="56">
        <v>1</v>
      </c>
      <c r="O537" s="57">
        <v>45000</v>
      </c>
      <c r="P537" s="56">
        <v>0</v>
      </c>
      <c r="Q537" s="56">
        <v>0</v>
      </c>
      <c r="R537" s="56">
        <v>45</v>
      </c>
      <c r="S537" s="56">
        <v>45</v>
      </c>
      <c r="T537" s="56">
        <v>0</v>
      </c>
      <c r="U537" s="56">
        <v>0</v>
      </c>
      <c r="V537" s="56">
        <v>45</v>
      </c>
      <c r="W537" s="56">
        <v>45</v>
      </c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</row>
    <row r="538" spans="1:39" x14ac:dyDescent="0.4">
      <c r="A538" s="56"/>
      <c r="B538" s="59"/>
      <c r="C538" s="56"/>
      <c r="D538" s="56"/>
      <c r="E538" s="56"/>
      <c r="F538" s="57"/>
      <c r="G538" s="57"/>
      <c r="H538" s="57"/>
      <c r="I538" s="56"/>
      <c r="J538" s="56"/>
      <c r="K538" s="56"/>
      <c r="L538" s="56" t="s">
        <v>669</v>
      </c>
      <c r="M538" s="56">
        <v>7</v>
      </c>
      <c r="N538" s="56">
        <v>24</v>
      </c>
      <c r="O538" s="57">
        <v>168000</v>
      </c>
      <c r="P538" s="56">
        <v>0</v>
      </c>
      <c r="Q538" s="56">
        <v>0</v>
      </c>
      <c r="R538" s="56">
        <v>7</v>
      </c>
      <c r="S538" s="56">
        <v>168</v>
      </c>
      <c r="T538" s="56">
        <v>0</v>
      </c>
      <c r="U538" s="56">
        <v>0</v>
      </c>
      <c r="V538" s="56">
        <v>7</v>
      </c>
      <c r="W538" s="56">
        <v>168</v>
      </c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</row>
    <row r="539" spans="1:39" x14ac:dyDescent="0.4">
      <c r="A539" s="56"/>
      <c r="B539" s="59"/>
      <c r="C539" s="56"/>
      <c r="D539" s="56"/>
      <c r="E539" s="56"/>
      <c r="F539" s="57"/>
      <c r="G539" s="57"/>
      <c r="H539" s="57"/>
      <c r="I539" s="56"/>
      <c r="J539" s="56"/>
      <c r="K539" s="56"/>
      <c r="L539" s="56" t="s">
        <v>670</v>
      </c>
      <c r="M539" s="56">
        <v>6</v>
      </c>
      <c r="N539" s="56">
        <v>24</v>
      </c>
      <c r="O539" s="57">
        <v>144000</v>
      </c>
      <c r="P539" s="56">
        <v>0</v>
      </c>
      <c r="Q539" s="56">
        <v>0</v>
      </c>
      <c r="R539" s="56">
        <v>6</v>
      </c>
      <c r="S539" s="56">
        <v>144</v>
      </c>
      <c r="T539" s="56">
        <v>0</v>
      </c>
      <c r="U539" s="56">
        <v>0</v>
      </c>
      <c r="V539" s="56">
        <v>6</v>
      </c>
      <c r="W539" s="56">
        <v>144</v>
      </c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</row>
    <row r="540" spans="1:39" x14ac:dyDescent="0.4">
      <c r="A540" s="56"/>
      <c r="B540" s="59"/>
      <c r="C540" s="56"/>
      <c r="D540" s="56"/>
      <c r="E540" s="56"/>
      <c r="F540" s="57"/>
      <c r="G540" s="57"/>
      <c r="H540" s="57"/>
      <c r="I540" s="56"/>
      <c r="J540" s="56"/>
      <c r="K540" s="56" t="s">
        <v>671</v>
      </c>
      <c r="L540" s="56"/>
      <c r="M540" s="56"/>
      <c r="N540" s="56"/>
      <c r="O540" s="57">
        <v>480000</v>
      </c>
      <c r="P540" s="56"/>
      <c r="Q540" s="56">
        <v>0</v>
      </c>
      <c r="R540" s="56"/>
      <c r="S540" s="56">
        <v>480</v>
      </c>
      <c r="T540" s="56"/>
      <c r="U540" s="56">
        <v>0</v>
      </c>
      <c r="V540" s="56"/>
      <c r="W540" s="56">
        <v>480</v>
      </c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</row>
    <row r="541" spans="1:39" x14ac:dyDescent="0.4">
      <c r="A541" s="56"/>
      <c r="B541" s="59"/>
      <c r="C541" s="56"/>
      <c r="D541" s="56"/>
      <c r="E541" s="56"/>
      <c r="F541" s="57"/>
      <c r="G541" s="57"/>
      <c r="H541" s="57"/>
      <c r="I541" s="56"/>
      <c r="J541" s="56"/>
      <c r="K541" s="56" t="s">
        <v>672</v>
      </c>
      <c r="L541" s="56"/>
      <c r="M541" s="56"/>
      <c r="N541" s="56"/>
      <c r="O541" s="57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</row>
    <row r="542" spans="1:39" x14ac:dyDescent="0.4">
      <c r="A542" s="56"/>
      <c r="B542" s="59"/>
      <c r="C542" s="56"/>
      <c r="D542" s="56"/>
      <c r="E542" s="56"/>
      <c r="F542" s="57"/>
      <c r="G542" s="57"/>
      <c r="H542" s="57"/>
      <c r="I542" s="56"/>
      <c r="J542" s="56"/>
      <c r="K542" s="56"/>
      <c r="L542" s="56" t="s">
        <v>673</v>
      </c>
      <c r="M542" s="56"/>
      <c r="N542" s="56"/>
      <c r="O542" s="57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</row>
    <row r="543" spans="1:39" x14ac:dyDescent="0.4">
      <c r="A543" s="56"/>
      <c r="B543" s="59"/>
      <c r="C543" s="56"/>
      <c r="D543" s="56"/>
      <c r="E543" s="56"/>
      <c r="F543" s="57"/>
      <c r="G543" s="57"/>
      <c r="H543" s="57"/>
      <c r="I543" s="56"/>
      <c r="J543" s="56"/>
      <c r="K543" s="56"/>
      <c r="L543" s="56" t="s">
        <v>674</v>
      </c>
      <c r="M543" s="56">
        <v>166</v>
      </c>
      <c r="N543" s="56">
        <v>1</v>
      </c>
      <c r="O543" s="57">
        <v>166000</v>
      </c>
      <c r="P543" s="56">
        <v>0</v>
      </c>
      <c r="Q543" s="56">
        <v>0</v>
      </c>
      <c r="R543" s="56">
        <v>166</v>
      </c>
      <c r="S543" s="56">
        <v>166</v>
      </c>
      <c r="T543" s="56">
        <v>0</v>
      </c>
      <c r="U543" s="56">
        <v>0</v>
      </c>
      <c r="V543" s="56">
        <v>166</v>
      </c>
      <c r="W543" s="56">
        <v>166</v>
      </c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</row>
    <row r="544" spans="1:39" x14ac:dyDescent="0.4">
      <c r="A544" s="56"/>
      <c r="B544" s="59"/>
      <c r="C544" s="56"/>
      <c r="D544" s="56"/>
      <c r="E544" s="56"/>
      <c r="F544" s="57"/>
      <c r="G544" s="57"/>
      <c r="H544" s="57"/>
      <c r="I544" s="56"/>
      <c r="J544" s="56"/>
      <c r="K544" s="56"/>
      <c r="L544" s="56" t="s">
        <v>675</v>
      </c>
      <c r="M544" s="56">
        <v>29</v>
      </c>
      <c r="N544" s="56">
        <v>1</v>
      </c>
      <c r="O544" s="57">
        <v>29000</v>
      </c>
      <c r="P544" s="56">
        <v>0</v>
      </c>
      <c r="Q544" s="56">
        <v>0</v>
      </c>
      <c r="R544" s="56">
        <v>29</v>
      </c>
      <c r="S544" s="56">
        <v>29</v>
      </c>
      <c r="T544" s="56">
        <v>0</v>
      </c>
      <c r="U544" s="56">
        <v>0</v>
      </c>
      <c r="V544" s="56">
        <v>29</v>
      </c>
      <c r="W544" s="56">
        <v>29</v>
      </c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</row>
    <row r="545" spans="1:39" x14ac:dyDescent="0.4">
      <c r="A545" s="56"/>
      <c r="B545" s="59"/>
      <c r="C545" s="56"/>
      <c r="D545" s="56"/>
      <c r="E545" s="56"/>
      <c r="F545" s="57"/>
      <c r="G545" s="57"/>
      <c r="H545" s="57"/>
      <c r="I545" s="56"/>
      <c r="J545" s="56"/>
      <c r="K545" s="56" t="s">
        <v>676</v>
      </c>
      <c r="L545" s="56"/>
      <c r="M545" s="56"/>
      <c r="N545" s="56"/>
      <c r="O545" s="57">
        <v>195000</v>
      </c>
      <c r="P545" s="56"/>
      <c r="Q545" s="56">
        <v>0</v>
      </c>
      <c r="R545" s="56"/>
      <c r="S545" s="56">
        <v>195</v>
      </c>
      <c r="T545" s="56"/>
      <c r="U545" s="56">
        <v>0</v>
      </c>
      <c r="V545" s="56"/>
      <c r="W545" s="56">
        <v>195</v>
      </c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</row>
    <row r="546" spans="1:39" x14ac:dyDescent="0.4">
      <c r="A546" s="56"/>
      <c r="B546" s="59"/>
      <c r="C546" s="56"/>
      <c r="D546" s="56"/>
      <c r="E546" s="56"/>
      <c r="F546" s="57"/>
      <c r="G546" s="57"/>
      <c r="H546" s="57"/>
      <c r="I546" s="56"/>
      <c r="J546" s="56"/>
      <c r="K546" s="56" t="s">
        <v>677</v>
      </c>
      <c r="L546" s="56"/>
      <c r="M546" s="56"/>
      <c r="N546" s="56"/>
      <c r="O546" s="57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</row>
    <row r="547" spans="1:39" x14ac:dyDescent="0.4">
      <c r="A547" s="56"/>
      <c r="B547" s="59"/>
      <c r="C547" s="56"/>
      <c r="D547" s="56"/>
      <c r="E547" s="56"/>
      <c r="F547" s="57"/>
      <c r="G547" s="57"/>
      <c r="H547" s="57"/>
      <c r="I547" s="56"/>
      <c r="J547" s="56"/>
      <c r="K547" s="56"/>
      <c r="L547" s="56" t="s">
        <v>678</v>
      </c>
      <c r="M547" s="56"/>
      <c r="N547" s="56"/>
      <c r="O547" s="57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</row>
    <row r="548" spans="1:39" x14ac:dyDescent="0.4">
      <c r="A548" s="56"/>
      <c r="B548" s="59"/>
      <c r="C548" s="56"/>
      <c r="D548" s="56"/>
      <c r="E548" s="56"/>
      <c r="F548" s="57"/>
      <c r="G548" s="57"/>
      <c r="H548" s="57"/>
      <c r="I548" s="56"/>
      <c r="J548" s="56"/>
      <c r="K548" s="56"/>
      <c r="L548" s="56" t="s">
        <v>679</v>
      </c>
      <c r="M548" s="56">
        <v>1.3</v>
      </c>
      <c r="N548" s="56">
        <v>100</v>
      </c>
      <c r="O548" s="57">
        <v>130000</v>
      </c>
      <c r="P548" s="56">
        <v>0</v>
      </c>
      <c r="Q548" s="56">
        <v>0</v>
      </c>
      <c r="R548" s="56">
        <v>1.3</v>
      </c>
      <c r="S548" s="56">
        <v>130</v>
      </c>
      <c r="T548" s="56">
        <v>0</v>
      </c>
      <c r="U548" s="56">
        <v>0</v>
      </c>
      <c r="V548" s="56">
        <v>1.3</v>
      </c>
      <c r="W548" s="56">
        <v>130</v>
      </c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</row>
    <row r="549" spans="1:39" x14ac:dyDescent="0.4">
      <c r="A549" s="56"/>
      <c r="B549" s="59"/>
      <c r="C549" s="56"/>
      <c r="D549" s="56"/>
      <c r="E549" s="56"/>
      <c r="F549" s="57"/>
      <c r="G549" s="57"/>
      <c r="H549" s="57"/>
      <c r="I549" s="56"/>
      <c r="J549" s="56"/>
      <c r="K549" s="56"/>
      <c r="L549" s="56" t="s">
        <v>680</v>
      </c>
      <c r="M549" s="56">
        <v>0.7</v>
      </c>
      <c r="N549" s="56">
        <v>100</v>
      </c>
      <c r="O549" s="57">
        <v>70000</v>
      </c>
      <c r="P549" s="56">
        <v>0</v>
      </c>
      <c r="Q549" s="56">
        <v>0</v>
      </c>
      <c r="R549" s="56">
        <v>0.7</v>
      </c>
      <c r="S549" s="56">
        <v>70</v>
      </c>
      <c r="T549" s="56">
        <v>0</v>
      </c>
      <c r="U549" s="56">
        <v>0</v>
      </c>
      <c r="V549" s="56">
        <v>0.7</v>
      </c>
      <c r="W549" s="56">
        <v>70</v>
      </c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</row>
    <row r="550" spans="1:39" x14ac:dyDescent="0.4">
      <c r="A550" s="56"/>
      <c r="B550" s="59"/>
      <c r="C550" s="56"/>
      <c r="D550" s="56"/>
      <c r="E550" s="56"/>
      <c r="F550" s="57"/>
      <c r="G550" s="57"/>
      <c r="H550" s="57"/>
      <c r="I550" s="56"/>
      <c r="J550" s="56"/>
      <c r="K550" s="56" t="s">
        <v>681</v>
      </c>
      <c r="L550" s="56"/>
      <c r="M550" s="56"/>
      <c r="N550" s="56"/>
      <c r="O550" s="57">
        <v>200000</v>
      </c>
      <c r="P550" s="56"/>
      <c r="Q550" s="56">
        <v>0</v>
      </c>
      <c r="R550" s="56"/>
      <c r="S550" s="56">
        <v>200</v>
      </c>
      <c r="T550" s="56"/>
      <c r="U550" s="56">
        <v>0</v>
      </c>
      <c r="V550" s="56"/>
      <c r="W550" s="56">
        <v>200</v>
      </c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</row>
    <row r="551" spans="1:39" x14ac:dyDescent="0.4">
      <c r="A551" s="56"/>
      <c r="B551" s="59"/>
      <c r="C551" s="56"/>
      <c r="D551" s="56"/>
      <c r="E551" s="56"/>
      <c r="F551" s="57"/>
      <c r="G551" s="57"/>
      <c r="H551" s="57"/>
      <c r="I551" s="56"/>
      <c r="J551" s="56" t="s">
        <v>77</v>
      </c>
      <c r="K551" s="56"/>
      <c r="L551" s="56"/>
      <c r="M551" s="56"/>
      <c r="N551" s="56"/>
      <c r="O551" s="57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</row>
    <row r="552" spans="1:39" x14ac:dyDescent="0.4">
      <c r="A552" s="56"/>
      <c r="B552" s="59"/>
      <c r="C552" s="56"/>
      <c r="D552" s="56"/>
      <c r="E552" s="56"/>
      <c r="F552" s="57"/>
      <c r="G552" s="57"/>
      <c r="H552" s="57"/>
      <c r="I552" s="56"/>
      <c r="J552" s="56"/>
      <c r="K552" s="56" t="s">
        <v>682</v>
      </c>
      <c r="L552" s="56"/>
      <c r="M552" s="56"/>
      <c r="N552" s="56"/>
      <c r="O552" s="57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</row>
    <row r="553" spans="1:39" x14ac:dyDescent="0.4">
      <c r="A553" s="56"/>
      <c r="B553" s="59"/>
      <c r="C553" s="56"/>
      <c r="D553" s="56"/>
      <c r="E553" s="56"/>
      <c r="F553" s="57"/>
      <c r="G553" s="57"/>
      <c r="H553" s="57"/>
      <c r="I553" s="56"/>
      <c r="J553" s="56"/>
      <c r="K553" s="56"/>
      <c r="L553" s="56" t="s">
        <v>683</v>
      </c>
      <c r="M553" s="56"/>
      <c r="N553" s="56"/>
      <c r="O553" s="57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</row>
    <row r="554" spans="1:39" x14ac:dyDescent="0.4">
      <c r="A554" s="56"/>
      <c r="B554" s="59"/>
      <c r="C554" s="56"/>
      <c r="D554" s="56"/>
      <c r="E554" s="56"/>
      <c r="F554" s="57"/>
      <c r="G554" s="57"/>
      <c r="H554" s="57"/>
      <c r="I554" s="56"/>
      <c r="J554" s="56"/>
      <c r="K554" s="56"/>
      <c r="L554" s="56" t="s">
        <v>684</v>
      </c>
      <c r="M554" s="56">
        <v>5</v>
      </c>
      <c r="N554" s="56">
        <v>104</v>
      </c>
      <c r="O554" s="57">
        <v>520000</v>
      </c>
      <c r="P554" s="56">
        <v>0</v>
      </c>
      <c r="Q554" s="56">
        <v>0</v>
      </c>
      <c r="R554" s="56">
        <v>5</v>
      </c>
      <c r="S554" s="56">
        <v>520</v>
      </c>
      <c r="T554" s="56">
        <v>0</v>
      </c>
      <c r="U554" s="56">
        <v>0</v>
      </c>
      <c r="V554" s="56">
        <v>5</v>
      </c>
      <c r="W554" s="56">
        <v>520</v>
      </c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</row>
    <row r="555" spans="1:39" x14ac:dyDescent="0.4">
      <c r="A555" s="56"/>
      <c r="B555" s="59"/>
      <c r="C555" s="56"/>
      <c r="D555" s="56"/>
      <c r="E555" s="56"/>
      <c r="F555" s="57"/>
      <c r="G555" s="57"/>
      <c r="H555" s="57"/>
      <c r="I555" s="56"/>
      <c r="J555" s="56"/>
      <c r="K555" s="56"/>
      <c r="L555" s="56" t="s">
        <v>685</v>
      </c>
      <c r="M555" s="56">
        <v>1.2</v>
      </c>
      <c r="N555" s="56">
        <v>104</v>
      </c>
      <c r="O555" s="57">
        <v>124800</v>
      </c>
      <c r="P555" s="56">
        <v>0</v>
      </c>
      <c r="Q555" s="56">
        <v>0</v>
      </c>
      <c r="R555" s="56">
        <v>1.2</v>
      </c>
      <c r="S555" s="56">
        <v>124.8</v>
      </c>
      <c r="T555" s="56">
        <v>0</v>
      </c>
      <c r="U555" s="56">
        <v>0</v>
      </c>
      <c r="V555" s="56">
        <v>1.2</v>
      </c>
      <c r="W555" s="56">
        <v>124.8</v>
      </c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</row>
    <row r="556" spans="1:39" x14ac:dyDescent="0.4">
      <c r="A556" s="56"/>
      <c r="B556" s="59"/>
      <c r="C556" s="56"/>
      <c r="D556" s="56"/>
      <c r="E556" s="56"/>
      <c r="F556" s="57"/>
      <c r="G556" s="57"/>
      <c r="H556" s="57"/>
      <c r="I556" s="56"/>
      <c r="J556" s="56"/>
      <c r="K556" s="56"/>
      <c r="L556" s="56" t="s">
        <v>686</v>
      </c>
      <c r="M556" s="56">
        <v>80</v>
      </c>
      <c r="N556" s="56">
        <v>1</v>
      </c>
      <c r="O556" s="57">
        <v>80000</v>
      </c>
      <c r="P556" s="56">
        <v>0</v>
      </c>
      <c r="Q556" s="56">
        <v>0</v>
      </c>
      <c r="R556" s="56">
        <v>80</v>
      </c>
      <c r="S556" s="56">
        <v>80</v>
      </c>
      <c r="T556" s="56">
        <v>0</v>
      </c>
      <c r="U556" s="56">
        <v>0</v>
      </c>
      <c r="V556" s="56">
        <v>80</v>
      </c>
      <c r="W556" s="56">
        <v>80</v>
      </c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</row>
    <row r="557" spans="1:39" x14ac:dyDescent="0.4">
      <c r="A557" s="56"/>
      <c r="B557" s="59"/>
      <c r="C557" s="56"/>
      <c r="D557" s="56"/>
      <c r="E557" s="56"/>
      <c r="F557" s="57"/>
      <c r="G557" s="57"/>
      <c r="H557" s="57"/>
      <c r="I557" s="56"/>
      <c r="J557" s="56"/>
      <c r="K557" s="56"/>
      <c r="L557" s="56" t="s">
        <v>687</v>
      </c>
      <c r="M557" s="56">
        <v>15</v>
      </c>
      <c r="N557" s="56">
        <v>1</v>
      </c>
      <c r="O557" s="57">
        <v>15000</v>
      </c>
      <c r="P557" s="56">
        <v>0</v>
      </c>
      <c r="Q557" s="56">
        <v>0</v>
      </c>
      <c r="R557" s="56">
        <v>15</v>
      </c>
      <c r="S557" s="56">
        <v>15</v>
      </c>
      <c r="T557" s="56">
        <v>0</v>
      </c>
      <c r="U557" s="56">
        <v>0</v>
      </c>
      <c r="V557" s="56">
        <v>15</v>
      </c>
      <c r="W557" s="56">
        <v>15</v>
      </c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</row>
    <row r="558" spans="1:39" x14ac:dyDescent="0.4">
      <c r="A558" s="56"/>
      <c r="B558" s="59"/>
      <c r="C558" s="56"/>
      <c r="D558" s="56"/>
      <c r="E558" s="56"/>
      <c r="F558" s="57"/>
      <c r="G558" s="57"/>
      <c r="H558" s="57"/>
      <c r="I558" s="56"/>
      <c r="J558" s="56"/>
      <c r="K558" s="56"/>
      <c r="L558" s="56" t="s">
        <v>688</v>
      </c>
      <c r="M558" s="56">
        <v>150</v>
      </c>
      <c r="N558" s="56">
        <v>1</v>
      </c>
      <c r="O558" s="57">
        <v>150000</v>
      </c>
      <c r="P558" s="56">
        <v>0</v>
      </c>
      <c r="Q558" s="56">
        <v>0</v>
      </c>
      <c r="R558" s="56">
        <v>150</v>
      </c>
      <c r="S558" s="56">
        <v>150</v>
      </c>
      <c r="T558" s="56">
        <v>0</v>
      </c>
      <c r="U558" s="56">
        <v>0</v>
      </c>
      <c r="V558" s="56">
        <v>150</v>
      </c>
      <c r="W558" s="56">
        <v>150</v>
      </c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</row>
    <row r="559" spans="1:39" x14ac:dyDescent="0.4">
      <c r="A559" s="56"/>
      <c r="B559" s="59"/>
      <c r="C559" s="56"/>
      <c r="D559" s="56"/>
      <c r="E559" s="56"/>
      <c r="F559" s="57"/>
      <c r="G559" s="57"/>
      <c r="H559" s="57"/>
      <c r="I559" s="56"/>
      <c r="J559" s="56"/>
      <c r="K559" s="56"/>
      <c r="L559" s="56" t="s">
        <v>689</v>
      </c>
      <c r="M559" s="56">
        <v>36</v>
      </c>
      <c r="N559" s="56">
        <v>1</v>
      </c>
      <c r="O559" s="57">
        <v>36000</v>
      </c>
      <c r="P559" s="56">
        <v>0</v>
      </c>
      <c r="Q559" s="56">
        <v>0</v>
      </c>
      <c r="R559" s="56">
        <v>36</v>
      </c>
      <c r="S559" s="56">
        <v>36</v>
      </c>
      <c r="T559" s="56">
        <v>0</v>
      </c>
      <c r="U559" s="56">
        <v>0</v>
      </c>
      <c r="V559" s="56">
        <v>36</v>
      </c>
      <c r="W559" s="56">
        <v>36</v>
      </c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</row>
    <row r="560" spans="1:39" x14ac:dyDescent="0.4">
      <c r="A560" s="56"/>
      <c r="B560" s="59"/>
      <c r="C560" s="56"/>
      <c r="D560" s="56"/>
      <c r="E560" s="56"/>
      <c r="F560" s="57"/>
      <c r="G560" s="57"/>
      <c r="H560" s="57"/>
      <c r="I560" s="56"/>
      <c r="J560" s="56"/>
      <c r="K560" s="56"/>
      <c r="L560" s="56" t="s">
        <v>690</v>
      </c>
      <c r="M560" s="56">
        <v>29</v>
      </c>
      <c r="N560" s="56">
        <v>1</v>
      </c>
      <c r="O560" s="57">
        <v>29000</v>
      </c>
      <c r="P560" s="56">
        <v>0</v>
      </c>
      <c r="Q560" s="56">
        <v>0</v>
      </c>
      <c r="R560" s="56">
        <v>29</v>
      </c>
      <c r="S560" s="56">
        <v>29</v>
      </c>
      <c r="T560" s="56">
        <v>0</v>
      </c>
      <c r="U560" s="56">
        <v>0</v>
      </c>
      <c r="V560" s="56">
        <v>29</v>
      </c>
      <c r="W560" s="56">
        <v>29</v>
      </c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</row>
    <row r="561" spans="1:39" x14ac:dyDescent="0.4">
      <c r="A561" s="56"/>
      <c r="B561" s="59"/>
      <c r="C561" s="56"/>
      <c r="D561" s="56"/>
      <c r="E561" s="56"/>
      <c r="F561" s="57"/>
      <c r="G561" s="57"/>
      <c r="H561" s="57"/>
      <c r="I561" s="56"/>
      <c r="J561" s="56"/>
      <c r="K561" s="56"/>
      <c r="L561" s="56" t="s">
        <v>691</v>
      </c>
      <c r="M561" s="56">
        <v>36</v>
      </c>
      <c r="N561" s="56">
        <v>1</v>
      </c>
      <c r="O561" s="57">
        <v>36000</v>
      </c>
      <c r="P561" s="56">
        <v>0</v>
      </c>
      <c r="Q561" s="56">
        <v>0</v>
      </c>
      <c r="R561" s="56">
        <v>36</v>
      </c>
      <c r="S561" s="56">
        <v>36</v>
      </c>
      <c r="T561" s="56">
        <v>0</v>
      </c>
      <c r="U561" s="56">
        <v>0</v>
      </c>
      <c r="V561" s="56">
        <v>36</v>
      </c>
      <c r="W561" s="56">
        <v>36</v>
      </c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</row>
    <row r="562" spans="1:39" x14ac:dyDescent="0.4">
      <c r="A562" s="56"/>
      <c r="B562" s="59"/>
      <c r="C562" s="56"/>
      <c r="D562" s="56"/>
      <c r="E562" s="56"/>
      <c r="F562" s="57"/>
      <c r="G562" s="57"/>
      <c r="H562" s="57"/>
      <c r="I562" s="56"/>
      <c r="J562" s="56"/>
      <c r="K562" s="56"/>
      <c r="L562" s="56" t="s">
        <v>692</v>
      </c>
      <c r="M562" s="56">
        <v>0.1</v>
      </c>
      <c r="N562" s="56">
        <v>104</v>
      </c>
      <c r="O562" s="57">
        <v>10400</v>
      </c>
      <c r="P562" s="56">
        <v>0</v>
      </c>
      <c r="Q562" s="56">
        <v>0</v>
      </c>
      <c r="R562" s="56">
        <v>0.1</v>
      </c>
      <c r="S562" s="56">
        <v>10.4</v>
      </c>
      <c r="T562" s="56">
        <v>0</v>
      </c>
      <c r="U562" s="56">
        <v>0</v>
      </c>
      <c r="V562" s="56">
        <v>0.1</v>
      </c>
      <c r="W562" s="56">
        <v>10.4</v>
      </c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</row>
    <row r="563" spans="1:39" x14ac:dyDescent="0.4">
      <c r="A563" s="56"/>
      <c r="B563" s="59"/>
      <c r="C563" s="56"/>
      <c r="D563" s="56"/>
      <c r="E563" s="56"/>
      <c r="F563" s="57"/>
      <c r="G563" s="57"/>
      <c r="H563" s="57"/>
      <c r="I563" s="56"/>
      <c r="J563" s="56"/>
      <c r="K563" s="56"/>
      <c r="L563" s="56" t="s">
        <v>693</v>
      </c>
      <c r="M563" s="56">
        <v>1</v>
      </c>
      <c r="N563" s="56">
        <v>104</v>
      </c>
      <c r="O563" s="57">
        <v>104000</v>
      </c>
      <c r="P563" s="56">
        <v>0</v>
      </c>
      <c r="Q563" s="56">
        <v>0</v>
      </c>
      <c r="R563" s="56">
        <v>1</v>
      </c>
      <c r="S563" s="56">
        <v>104</v>
      </c>
      <c r="T563" s="56">
        <v>0</v>
      </c>
      <c r="U563" s="56">
        <v>0</v>
      </c>
      <c r="V563" s="56">
        <v>1</v>
      </c>
      <c r="W563" s="56">
        <v>104</v>
      </c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</row>
    <row r="564" spans="1:39" x14ac:dyDescent="0.4">
      <c r="A564" s="56"/>
      <c r="B564" s="59"/>
      <c r="C564" s="56"/>
      <c r="D564" s="56"/>
      <c r="E564" s="56"/>
      <c r="F564" s="57"/>
      <c r="G564" s="57"/>
      <c r="H564" s="57"/>
      <c r="I564" s="56"/>
      <c r="J564" s="56"/>
      <c r="K564" s="56"/>
      <c r="L564" s="56" t="s">
        <v>694</v>
      </c>
      <c r="M564" s="56">
        <v>17</v>
      </c>
      <c r="N564" s="56">
        <v>1</v>
      </c>
      <c r="O564" s="57">
        <v>17000</v>
      </c>
      <c r="P564" s="56">
        <v>0</v>
      </c>
      <c r="Q564" s="56">
        <v>0</v>
      </c>
      <c r="R564" s="56">
        <v>17</v>
      </c>
      <c r="S564" s="56">
        <v>17</v>
      </c>
      <c r="T564" s="56">
        <v>0</v>
      </c>
      <c r="U564" s="56">
        <v>0</v>
      </c>
      <c r="V564" s="56">
        <v>17</v>
      </c>
      <c r="W564" s="56">
        <v>17</v>
      </c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</row>
    <row r="565" spans="1:39" x14ac:dyDescent="0.4">
      <c r="A565" s="56"/>
      <c r="B565" s="59"/>
      <c r="C565" s="56"/>
      <c r="D565" s="56"/>
      <c r="E565" s="56"/>
      <c r="F565" s="57"/>
      <c r="G565" s="57"/>
      <c r="H565" s="57"/>
      <c r="I565" s="56"/>
      <c r="J565" s="56"/>
      <c r="K565" s="56"/>
      <c r="L565" s="56" t="s">
        <v>695</v>
      </c>
      <c r="M565" s="56">
        <v>43</v>
      </c>
      <c r="N565" s="56">
        <v>1</v>
      </c>
      <c r="O565" s="57">
        <v>43000</v>
      </c>
      <c r="P565" s="56">
        <v>0</v>
      </c>
      <c r="Q565" s="56">
        <v>0</v>
      </c>
      <c r="R565" s="56">
        <v>43</v>
      </c>
      <c r="S565" s="56">
        <v>43</v>
      </c>
      <c r="T565" s="56">
        <v>0</v>
      </c>
      <c r="U565" s="56">
        <v>0</v>
      </c>
      <c r="V565" s="56">
        <v>43</v>
      </c>
      <c r="W565" s="56">
        <v>43</v>
      </c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</row>
    <row r="566" spans="1:39" x14ac:dyDescent="0.4">
      <c r="A566" s="56"/>
      <c r="B566" s="59"/>
      <c r="C566" s="56"/>
      <c r="D566" s="56"/>
      <c r="E566" s="56"/>
      <c r="F566" s="57"/>
      <c r="G566" s="57"/>
      <c r="H566" s="57"/>
      <c r="I566" s="56"/>
      <c r="J566" s="56"/>
      <c r="K566" s="56"/>
      <c r="L566" s="56" t="s">
        <v>696</v>
      </c>
      <c r="M566" s="56">
        <v>45</v>
      </c>
      <c r="N566" s="56">
        <v>1</v>
      </c>
      <c r="O566" s="57">
        <v>45000</v>
      </c>
      <c r="P566" s="56">
        <v>0</v>
      </c>
      <c r="Q566" s="56">
        <v>0</v>
      </c>
      <c r="R566" s="56">
        <v>45</v>
      </c>
      <c r="S566" s="56">
        <v>45</v>
      </c>
      <c r="T566" s="56">
        <v>0</v>
      </c>
      <c r="U566" s="56">
        <v>0</v>
      </c>
      <c r="V566" s="56">
        <v>45</v>
      </c>
      <c r="W566" s="56">
        <v>45</v>
      </c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</row>
    <row r="567" spans="1:39" x14ac:dyDescent="0.4">
      <c r="A567" s="56"/>
      <c r="B567" s="59"/>
      <c r="C567" s="56"/>
      <c r="D567" s="56"/>
      <c r="E567" s="56"/>
      <c r="F567" s="57"/>
      <c r="G567" s="57"/>
      <c r="H567" s="57"/>
      <c r="I567" s="56"/>
      <c r="J567" s="56"/>
      <c r="K567" s="56"/>
      <c r="L567" s="56" t="s">
        <v>697</v>
      </c>
      <c r="M567" s="56">
        <v>0.4</v>
      </c>
      <c r="N567" s="56">
        <v>104</v>
      </c>
      <c r="O567" s="57">
        <v>41600</v>
      </c>
      <c r="P567" s="56">
        <v>0</v>
      </c>
      <c r="Q567" s="56">
        <v>0</v>
      </c>
      <c r="R567" s="56">
        <v>0.4</v>
      </c>
      <c r="S567" s="56">
        <v>41.6</v>
      </c>
      <c r="T567" s="56">
        <v>0</v>
      </c>
      <c r="U567" s="56">
        <v>0</v>
      </c>
      <c r="V567" s="56">
        <v>0.4</v>
      </c>
      <c r="W567" s="56">
        <v>41.6</v>
      </c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</row>
    <row r="568" spans="1:39" x14ac:dyDescent="0.4">
      <c r="A568" s="56"/>
      <c r="B568" s="59"/>
      <c r="C568" s="56"/>
      <c r="D568" s="56"/>
      <c r="E568" s="56"/>
      <c r="F568" s="57"/>
      <c r="G568" s="57"/>
      <c r="H568" s="57"/>
      <c r="I568" s="56"/>
      <c r="J568" s="56"/>
      <c r="K568" s="56"/>
      <c r="L568" s="56" t="s">
        <v>698</v>
      </c>
      <c r="M568" s="56">
        <v>39</v>
      </c>
      <c r="N568" s="56">
        <v>1</v>
      </c>
      <c r="O568" s="57">
        <v>39000</v>
      </c>
      <c r="P568" s="56">
        <v>0</v>
      </c>
      <c r="Q568" s="56">
        <v>0</v>
      </c>
      <c r="R568" s="56">
        <v>39</v>
      </c>
      <c r="S568" s="56">
        <v>39</v>
      </c>
      <c r="T568" s="56">
        <v>0</v>
      </c>
      <c r="U568" s="56">
        <v>0</v>
      </c>
      <c r="V568" s="56">
        <v>39</v>
      </c>
      <c r="W568" s="56">
        <v>39</v>
      </c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</row>
    <row r="569" spans="1:39" x14ac:dyDescent="0.4">
      <c r="A569" s="56"/>
      <c r="B569" s="59"/>
      <c r="C569" s="56"/>
      <c r="D569" s="56"/>
      <c r="E569" s="56"/>
      <c r="F569" s="57"/>
      <c r="G569" s="57"/>
      <c r="H569" s="57"/>
      <c r="I569" s="56"/>
      <c r="J569" s="56"/>
      <c r="K569" s="56"/>
      <c r="L569" s="56" t="s">
        <v>699</v>
      </c>
      <c r="M569" s="56">
        <v>43</v>
      </c>
      <c r="N569" s="56">
        <v>1</v>
      </c>
      <c r="O569" s="57">
        <v>43000</v>
      </c>
      <c r="P569" s="56">
        <v>0</v>
      </c>
      <c r="Q569" s="56">
        <v>0</v>
      </c>
      <c r="R569" s="56">
        <v>43</v>
      </c>
      <c r="S569" s="56">
        <v>43</v>
      </c>
      <c r="T569" s="56">
        <v>0</v>
      </c>
      <c r="U569" s="56">
        <v>0</v>
      </c>
      <c r="V569" s="56">
        <v>43</v>
      </c>
      <c r="W569" s="56">
        <v>43</v>
      </c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</row>
    <row r="570" spans="1:39" x14ac:dyDescent="0.4">
      <c r="A570" s="56"/>
      <c r="B570" s="59"/>
      <c r="C570" s="56"/>
      <c r="D570" s="56"/>
      <c r="E570" s="56"/>
      <c r="F570" s="57"/>
      <c r="G570" s="57"/>
      <c r="H570" s="57"/>
      <c r="I570" s="56"/>
      <c r="J570" s="56"/>
      <c r="K570" s="56"/>
      <c r="L570" s="56" t="s">
        <v>700</v>
      </c>
      <c r="M570" s="56">
        <v>43</v>
      </c>
      <c r="N570" s="56">
        <v>1</v>
      </c>
      <c r="O570" s="57">
        <v>43000</v>
      </c>
      <c r="P570" s="56">
        <v>0</v>
      </c>
      <c r="Q570" s="56">
        <v>0</v>
      </c>
      <c r="R570" s="56">
        <v>43</v>
      </c>
      <c r="S570" s="56">
        <v>43</v>
      </c>
      <c r="T570" s="56">
        <v>0</v>
      </c>
      <c r="U570" s="56">
        <v>0</v>
      </c>
      <c r="V570" s="56">
        <v>43</v>
      </c>
      <c r="W570" s="56">
        <v>43</v>
      </c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</row>
    <row r="571" spans="1:39" x14ac:dyDescent="0.4">
      <c r="A571" s="56"/>
      <c r="B571" s="59"/>
      <c r="C571" s="56"/>
      <c r="D571" s="56"/>
      <c r="E571" s="56"/>
      <c r="F571" s="57"/>
      <c r="G571" s="57"/>
      <c r="H571" s="57"/>
      <c r="I571" s="56"/>
      <c r="J571" s="56"/>
      <c r="K571" s="56"/>
      <c r="L571" s="56" t="s">
        <v>701</v>
      </c>
      <c r="M571" s="56">
        <v>20</v>
      </c>
      <c r="N571" s="56">
        <v>1</v>
      </c>
      <c r="O571" s="57">
        <v>20000</v>
      </c>
      <c r="P571" s="56">
        <v>0</v>
      </c>
      <c r="Q571" s="56">
        <v>0</v>
      </c>
      <c r="R571" s="56">
        <v>20</v>
      </c>
      <c r="S571" s="56">
        <v>20</v>
      </c>
      <c r="T571" s="56">
        <v>0</v>
      </c>
      <c r="U571" s="56">
        <v>0</v>
      </c>
      <c r="V571" s="56">
        <v>20</v>
      </c>
      <c r="W571" s="56">
        <v>20</v>
      </c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</row>
    <row r="572" spans="1:39" x14ac:dyDescent="0.4">
      <c r="A572" s="56"/>
      <c r="B572" s="59"/>
      <c r="C572" s="56"/>
      <c r="D572" s="56"/>
      <c r="E572" s="56"/>
      <c r="F572" s="57"/>
      <c r="G572" s="57"/>
      <c r="H572" s="57"/>
      <c r="I572" s="56"/>
      <c r="J572" s="56"/>
      <c r="K572" s="56"/>
      <c r="L572" s="56" t="s">
        <v>702</v>
      </c>
      <c r="M572" s="56">
        <v>40</v>
      </c>
      <c r="N572" s="56">
        <v>1</v>
      </c>
      <c r="O572" s="57">
        <v>40000</v>
      </c>
      <c r="P572" s="56">
        <v>0</v>
      </c>
      <c r="Q572" s="56">
        <v>0</v>
      </c>
      <c r="R572" s="56">
        <v>40</v>
      </c>
      <c r="S572" s="56">
        <v>40</v>
      </c>
      <c r="T572" s="56">
        <v>0</v>
      </c>
      <c r="U572" s="56">
        <v>0</v>
      </c>
      <c r="V572" s="56">
        <v>40</v>
      </c>
      <c r="W572" s="56">
        <v>40</v>
      </c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</row>
    <row r="573" spans="1:39" x14ac:dyDescent="0.4">
      <c r="A573" s="56"/>
      <c r="B573" s="59"/>
      <c r="C573" s="56"/>
      <c r="D573" s="56"/>
      <c r="E573" s="56"/>
      <c r="F573" s="57"/>
      <c r="G573" s="57"/>
      <c r="H573" s="57"/>
      <c r="I573" s="56"/>
      <c r="J573" s="56"/>
      <c r="K573" s="56"/>
      <c r="L573" s="56" t="s">
        <v>983</v>
      </c>
      <c r="M573" s="56">
        <v>40</v>
      </c>
      <c r="N573" s="56">
        <v>1</v>
      </c>
      <c r="O573" s="57">
        <v>40000</v>
      </c>
      <c r="P573" s="56">
        <v>0</v>
      </c>
      <c r="Q573" s="56">
        <v>0</v>
      </c>
      <c r="R573" s="56">
        <v>40</v>
      </c>
      <c r="S573" s="56">
        <v>40</v>
      </c>
      <c r="T573" s="56">
        <v>0</v>
      </c>
      <c r="U573" s="56">
        <v>0</v>
      </c>
      <c r="V573" s="56">
        <v>40</v>
      </c>
      <c r="W573" s="56">
        <v>40</v>
      </c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</row>
    <row r="574" spans="1:39" x14ac:dyDescent="0.4">
      <c r="A574" s="56"/>
      <c r="B574" s="59"/>
      <c r="C574" s="56"/>
      <c r="D574" s="56"/>
      <c r="E574" s="56"/>
      <c r="F574" s="57"/>
      <c r="G574" s="57"/>
      <c r="H574" s="57"/>
      <c r="I574" s="56"/>
      <c r="J574" s="56"/>
      <c r="K574" s="56"/>
      <c r="L574" s="56" t="s">
        <v>984</v>
      </c>
      <c r="M574" s="56">
        <v>20</v>
      </c>
      <c r="N574" s="56">
        <v>1</v>
      </c>
      <c r="O574" s="57">
        <v>20000</v>
      </c>
      <c r="P574" s="56">
        <v>0</v>
      </c>
      <c r="Q574" s="56">
        <v>0</v>
      </c>
      <c r="R574" s="56">
        <v>20</v>
      </c>
      <c r="S574" s="56">
        <v>20</v>
      </c>
      <c r="T574" s="56">
        <v>0</v>
      </c>
      <c r="U574" s="56">
        <v>0</v>
      </c>
      <c r="V574" s="56">
        <v>20</v>
      </c>
      <c r="W574" s="56">
        <v>20</v>
      </c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</row>
    <row r="575" spans="1:39" x14ac:dyDescent="0.4">
      <c r="A575" s="56"/>
      <c r="B575" s="59"/>
      <c r="C575" s="56"/>
      <c r="D575" s="56"/>
      <c r="E575" s="56"/>
      <c r="F575" s="57"/>
      <c r="G575" s="57"/>
      <c r="H575" s="57"/>
      <c r="I575" s="56"/>
      <c r="J575" s="56"/>
      <c r="K575" s="56"/>
      <c r="L575" s="56" t="s">
        <v>703</v>
      </c>
      <c r="M575" s="56">
        <v>14</v>
      </c>
      <c r="N575" s="56">
        <v>1</v>
      </c>
      <c r="O575" s="57">
        <v>14000</v>
      </c>
      <c r="P575" s="56">
        <v>0</v>
      </c>
      <c r="Q575" s="56">
        <v>0</v>
      </c>
      <c r="R575" s="56">
        <v>14</v>
      </c>
      <c r="S575" s="56">
        <v>14</v>
      </c>
      <c r="T575" s="56">
        <v>0</v>
      </c>
      <c r="U575" s="56">
        <v>0</v>
      </c>
      <c r="V575" s="56">
        <v>14</v>
      </c>
      <c r="W575" s="56">
        <v>14</v>
      </c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</row>
    <row r="576" spans="1:39" x14ac:dyDescent="0.4">
      <c r="A576" s="56"/>
      <c r="B576" s="59"/>
      <c r="C576" s="56"/>
      <c r="D576" s="56"/>
      <c r="E576" s="56"/>
      <c r="F576" s="57"/>
      <c r="G576" s="57"/>
      <c r="H576" s="57"/>
      <c r="I576" s="56"/>
      <c r="J576" s="56"/>
      <c r="K576" s="56"/>
      <c r="L576" s="56" t="s">
        <v>704</v>
      </c>
      <c r="M576" s="56">
        <v>60</v>
      </c>
      <c r="N576" s="56">
        <v>1</v>
      </c>
      <c r="O576" s="57">
        <v>60000</v>
      </c>
      <c r="P576" s="56">
        <v>0</v>
      </c>
      <c r="Q576" s="56">
        <v>0</v>
      </c>
      <c r="R576" s="56">
        <v>60</v>
      </c>
      <c r="S576" s="56">
        <v>60</v>
      </c>
      <c r="T576" s="56">
        <v>0</v>
      </c>
      <c r="U576" s="56">
        <v>0</v>
      </c>
      <c r="V576" s="56">
        <v>60</v>
      </c>
      <c r="W576" s="56">
        <v>60</v>
      </c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</row>
    <row r="577" spans="1:39" x14ac:dyDescent="0.4">
      <c r="A577" s="56"/>
      <c r="B577" s="59"/>
      <c r="C577" s="56"/>
      <c r="D577" s="56"/>
      <c r="E577" s="56"/>
      <c r="F577" s="57"/>
      <c r="G577" s="57"/>
      <c r="H577" s="57"/>
      <c r="I577" s="56"/>
      <c r="J577" s="56"/>
      <c r="K577" s="56"/>
      <c r="L577" s="56" t="s">
        <v>705</v>
      </c>
      <c r="M577" s="56">
        <v>28</v>
      </c>
      <c r="N577" s="56">
        <v>1</v>
      </c>
      <c r="O577" s="57">
        <v>28000</v>
      </c>
      <c r="P577" s="56">
        <v>0</v>
      </c>
      <c r="Q577" s="56">
        <v>0</v>
      </c>
      <c r="R577" s="56">
        <v>28</v>
      </c>
      <c r="S577" s="56">
        <v>28</v>
      </c>
      <c r="T577" s="56">
        <v>0</v>
      </c>
      <c r="U577" s="56">
        <v>0</v>
      </c>
      <c r="V577" s="56">
        <v>28</v>
      </c>
      <c r="W577" s="56">
        <v>28</v>
      </c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</row>
    <row r="578" spans="1:39" x14ac:dyDescent="0.4">
      <c r="A578" s="56"/>
      <c r="B578" s="59"/>
      <c r="C578" s="56"/>
      <c r="D578" s="56"/>
      <c r="E578" s="56"/>
      <c r="F578" s="57"/>
      <c r="G578" s="57"/>
      <c r="H578" s="57"/>
      <c r="I578" s="56"/>
      <c r="J578" s="56"/>
      <c r="K578" s="56"/>
      <c r="L578" s="56" t="s">
        <v>706</v>
      </c>
      <c r="M578" s="56">
        <v>22</v>
      </c>
      <c r="N578" s="56">
        <v>1</v>
      </c>
      <c r="O578" s="57">
        <v>22000</v>
      </c>
      <c r="P578" s="56">
        <v>0</v>
      </c>
      <c r="Q578" s="56">
        <v>0</v>
      </c>
      <c r="R578" s="56">
        <v>22</v>
      </c>
      <c r="S578" s="56">
        <v>22</v>
      </c>
      <c r="T578" s="56">
        <v>0</v>
      </c>
      <c r="U578" s="56">
        <v>0</v>
      </c>
      <c r="V578" s="56">
        <v>22</v>
      </c>
      <c r="W578" s="56">
        <v>22</v>
      </c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</row>
    <row r="579" spans="1:39" x14ac:dyDescent="0.4">
      <c r="A579" s="56"/>
      <c r="B579" s="59"/>
      <c r="C579" s="56"/>
      <c r="D579" s="56"/>
      <c r="E579" s="56"/>
      <c r="F579" s="57"/>
      <c r="G579" s="57"/>
      <c r="H579" s="57"/>
      <c r="I579" s="56"/>
      <c r="J579" s="56"/>
      <c r="K579" s="56" t="s">
        <v>707</v>
      </c>
      <c r="L579" s="56"/>
      <c r="M579" s="56"/>
      <c r="N579" s="56"/>
      <c r="O579" s="57">
        <v>1620800</v>
      </c>
      <c r="P579" s="56"/>
      <c r="Q579" s="56">
        <v>0</v>
      </c>
      <c r="R579" s="56"/>
      <c r="S579" s="56">
        <v>1620.8</v>
      </c>
      <c r="T579" s="56"/>
      <c r="U579" s="56">
        <v>0</v>
      </c>
      <c r="V579" s="56"/>
      <c r="W579" s="56">
        <v>1620.8</v>
      </c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</row>
    <row r="580" spans="1:39" x14ac:dyDescent="0.4">
      <c r="A580" s="56"/>
      <c r="B580" s="59"/>
      <c r="C580" s="56"/>
      <c r="D580" s="56"/>
      <c r="E580" s="56"/>
      <c r="F580" s="57"/>
      <c r="G580" s="57"/>
      <c r="H580" s="57"/>
      <c r="I580" s="56"/>
      <c r="J580" s="56"/>
      <c r="K580" s="56" t="s">
        <v>708</v>
      </c>
      <c r="L580" s="56"/>
      <c r="M580" s="56"/>
      <c r="N580" s="56"/>
      <c r="O580" s="57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</row>
    <row r="581" spans="1:39" x14ac:dyDescent="0.4">
      <c r="A581" s="56"/>
      <c r="B581" s="59"/>
      <c r="C581" s="56"/>
      <c r="D581" s="56"/>
      <c r="E581" s="56"/>
      <c r="F581" s="57"/>
      <c r="G581" s="57"/>
      <c r="H581" s="57"/>
      <c r="I581" s="56"/>
      <c r="J581" s="56"/>
      <c r="K581" s="56"/>
      <c r="L581" s="56" t="s">
        <v>709</v>
      </c>
      <c r="M581" s="56"/>
      <c r="N581" s="56"/>
      <c r="O581" s="57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</row>
    <row r="582" spans="1:39" x14ac:dyDescent="0.4">
      <c r="A582" s="56"/>
      <c r="B582" s="59"/>
      <c r="C582" s="56"/>
      <c r="D582" s="56"/>
      <c r="E582" s="56"/>
      <c r="F582" s="57"/>
      <c r="G582" s="57"/>
      <c r="H582" s="57"/>
      <c r="I582" s="56"/>
      <c r="J582" s="56"/>
      <c r="K582" s="56"/>
      <c r="L582" s="56" t="s">
        <v>710</v>
      </c>
      <c r="M582" s="56">
        <v>125</v>
      </c>
      <c r="N582" s="56">
        <v>1</v>
      </c>
      <c r="O582" s="57">
        <v>125000</v>
      </c>
      <c r="P582" s="56">
        <v>0</v>
      </c>
      <c r="Q582" s="56">
        <v>0</v>
      </c>
      <c r="R582" s="56">
        <v>125</v>
      </c>
      <c r="S582" s="56">
        <v>125</v>
      </c>
      <c r="T582" s="56">
        <v>0</v>
      </c>
      <c r="U582" s="56">
        <v>0</v>
      </c>
      <c r="V582" s="56">
        <v>125</v>
      </c>
      <c r="W582" s="56">
        <v>125</v>
      </c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</row>
    <row r="583" spans="1:39" x14ac:dyDescent="0.4">
      <c r="A583" s="56"/>
      <c r="B583" s="59"/>
      <c r="C583" s="56"/>
      <c r="D583" s="56"/>
      <c r="E583" s="56"/>
      <c r="F583" s="57"/>
      <c r="G583" s="57"/>
      <c r="H583" s="57"/>
      <c r="I583" s="56"/>
      <c r="J583" s="56"/>
      <c r="K583" s="56"/>
      <c r="L583" s="56" t="s">
        <v>711</v>
      </c>
      <c r="M583" s="56">
        <v>80</v>
      </c>
      <c r="N583" s="56">
        <v>1</v>
      </c>
      <c r="O583" s="57">
        <v>80000</v>
      </c>
      <c r="P583" s="56">
        <v>0</v>
      </c>
      <c r="Q583" s="56">
        <v>0</v>
      </c>
      <c r="R583" s="56">
        <v>80</v>
      </c>
      <c r="S583" s="56">
        <v>80</v>
      </c>
      <c r="T583" s="56">
        <v>0</v>
      </c>
      <c r="U583" s="56">
        <v>0</v>
      </c>
      <c r="V583" s="56">
        <v>80</v>
      </c>
      <c r="W583" s="56">
        <v>80</v>
      </c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</row>
    <row r="584" spans="1:39" x14ac:dyDescent="0.4">
      <c r="A584" s="56"/>
      <c r="B584" s="59"/>
      <c r="C584" s="56"/>
      <c r="D584" s="56"/>
      <c r="E584" s="56"/>
      <c r="F584" s="57"/>
      <c r="G584" s="57"/>
      <c r="H584" s="57"/>
      <c r="I584" s="56"/>
      <c r="J584" s="56"/>
      <c r="K584" s="56"/>
      <c r="L584" s="56" t="s">
        <v>845</v>
      </c>
      <c r="M584" s="56">
        <v>10</v>
      </c>
      <c r="N584" s="56">
        <v>1</v>
      </c>
      <c r="O584" s="57">
        <v>10000</v>
      </c>
      <c r="P584" s="56">
        <v>0</v>
      </c>
      <c r="Q584" s="56">
        <v>0</v>
      </c>
      <c r="R584" s="56">
        <v>10</v>
      </c>
      <c r="S584" s="56">
        <v>10</v>
      </c>
      <c r="T584" s="56">
        <v>0</v>
      </c>
      <c r="U584" s="56">
        <v>0</v>
      </c>
      <c r="V584" s="56">
        <v>10</v>
      </c>
      <c r="W584" s="56">
        <v>10</v>
      </c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</row>
    <row r="585" spans="1:39" x14ac:dyDescent="0.4">
      <c r="A585" s="56"/>
      <c r="B585" s="59"/>
      <c r="C585" s="56"/>
      <c r="D585" s="56"/>
      <c r="E585" s="56"/>
      <c r="F585" s="57"/>
      <c r="G585" s="57"/>
      <c r="H585" s="57"/>
      <c r="I585" s="56"/>
      <c r="J585" s="56"/>
      <c r="K585" s="56"/>
      <c r="L585" s="56" t="s">
        <v>712</v>
      </c>
      <c r="M585" s="56">
        <v>30</v>
      </c>
      <c r="N585" s="56">
        <v>1</v>
      </c>
      <c r="O585" s="57">
        <v>30000</v>
      </c>
      <c r="P585" s="56">
        <v>0</v>
      </c>
      <c r="Q585" s="56">
        <v>0</v>
      </c>
      <c r="R585" s="56">
        <v>30</v>
      </c>
      <c r="S585" s="56">
        <v>30</v>
      </c>
      <c r="T585" s="56">
        <v>0</v>
      </c>
      <c r="U585" s="56">
        <v>0</v>
      </c>
      <c r="V585" s="56">
        <v>30</v>
      </c>
      <c r="W585" s="56">
        <v>30</v>
      </c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</row>
    <row r="586" spans="1:39" x14ac:dyDescent="0.4">
      <c r="A586" s="56"/>
      <c r="B586" s="59"/>
      <c r="C586" s="56"/>
      <c r="D586" s="56"/>
      <c r="E586" s="56"/>
      <c r="F586" s="57"/>
      <c r="G586" s="57"/>
      <c r="H586" s="57"/>
      <c r="I586" s="56"/>
      <c r="J586" s="56"/>
      <c r="K586" s="56" t="s">
        <v>713</v>
      </c>
      <c r="L586" s="56"/>
      <c r="M586" s="56"/>
      <c r="N586" s="56"/>
      <c r="O586" s="57">
        <v>245000</v>
      </c>
      <c r="P586" s="56"/>
      <c r="Q586" s="56">
        <v>0</v>
      </c>
      <c r="R586" s="56"/>
      <c r="S586" s="56">
        <v>245</v>
      </c>
      <c r="T586" s="56"/>
      <c r="U586" s="56">
        <v>0</v>
      </c>
      <c r="V586" s="56"/>
      <c r="W586" s="56">
        <v>245</v>
      </c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</row>
    <row r="587" spans="1:39" x14ac:dyDescent="0.4">
      <c r="A587" s="56"/>
      <c r="B587" s="59"/>
      <c r="C587" s="56"/>
      <c r="D587" s="56"/>
      <c r="E587" s="56"/>
      <c r="F587" s="57"/>
      <c r="G587" s="57"/>
      <c r="H587" s="57"/>
      <c r="I587" s="56"/>
      <c r="J587" s="56"/>
      <c r="K587" s="56" t="s">
        <v>714</v>
      </c>
      <c r="L587" s="56"/>
      <c r="M587" s="56"/>
      <c r="N587" s="56"/>
      <c r="O587" s="57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</row>
    <row r="588" spans="1:39" x14ac:dyDescent="0.4">
      <c r="A588" s="56"/>
      <c r="B588" s="59"/>
      <c r="C588" s="56"/>
      <c r="D588" s="56"/>
      <c r="E588" s="56"/>
      <c r="F588" s="57"/>
      <c r="G588" s="57"/>
      <c r="H588" s="57"/>
      <c r="I588" s="56"/>
      <c r="J588" s="56"/>
      <c r="K588" s="56" t="s">
        <v>715</v>
      </c>
      <c r="L588" s="56"/>
      <c r="M588" s="56"/>
      <c r="N588" s="56"/>
      <c r="O588" s="57">
        <v>0</v>
      </c>
      <c r="P588" s="56"/>
      <c r="Q588" s="56">
        <v>0</v>
      </c>
      <c r="R588" s="56"/>
      <c r="S588" s="56">
        <v>0</v>
      </c>
      <c r="T588" s="56"/>
      <c r="U588" s="56">
        <v>0</v>
      </c>
      <c r="V588" s="56"/>
      <c r="W588" s="56">
        <v>0</v>
      </c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</row>
    <row r="589" spans="1:39" x14ac:dyDescent="0.4">
      <c r="A589" s="56"/>
      <c r="B589" s="59"/>
      <c r="C589" s="56"/>
      <c r="D589" s="56"/>
      <c r="E589" s="56"/>
      <c r="F589" s="57"/>
      <c r="G589" s="57"/>
      <c r="H589" s="57"/>
      <c r="I589" s="56"/>
      <c r="J589" s="56"/>
      <c r="K589" s="56" t="s">
        <v>716</v>
      </c>
      <c r="L589" s="56"/>
      <c r="M589" s="56"/>
      <c r="N589" s="56"/>
      <c r="O589" s="57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</row>
    <row r="590" spans="1:39" x14ac:dyDescent="0.4">
      <c r="A590" s="56"/>
      <c r="B590" s="59"/>
      <c r="C590" s="56"/>
      <c r="D590" s="56"/>
      <c r="E590" s="56"/>
      <c r="F590" s="57"/>
      <c r="G590" s="57"/>
      <c r="H590" s="57"/>
      <c r="I590" s="56"/>
      <c r="J590" s="56"/>
      <c r="K590" s="56"/>
      <c r="L590" s="56" t="s">
        <v>717</v>
      </c>
      <c r="M590" s="56"/>
      <c r="N590" s="56"/>
      <c r="O590" s="57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</row>
    <row r="591" spans="1:39" x14ac:dyDescent="0.4">
      <c r="A591" s="56"/>
      <c r="B591" s="59"/>
      <c r="C591" s="56"/>
      <c r="D591" s="56"/>
      <c r="E591" s="56"/>
      <c r="F591" s="57"/>
      <c r="G591" s="57"/>
      <c r="H591" s="57"/>
      <c r="I591" s="56"/>
      <c r="J591" s="56"/>
      <c r="K591" s="56"/>
      <c r="L591" s="56" t="s">
        <v>718</v>
      </c>
      <c r="M591" s="56">
        <v>71.5</v>
      </c>
      <c r="N591" s="56">
        <v>1</v>
      </c>
      <c r="O591" s="57">
        <v>71500</v>
      </c>
      <c r="P591" s="56">
        <v>0</v>
      </c>
      <c r="Q591" s="56">
        <v>0</v>
      </c>
      <c r="R591" s="56">
        <v>71.5</v>
      </c>
      <c r="S591" s="56">
        <v>71.5</v>
      </c>
      <c r="T591" s="56">
        <v>0</v>
      </c>
      <c r="U591" s="56">
        <v>0</v>
      </c>
      <c r="V591" s="56">
        <v>71.5</v>
      </c>
      <c r="W591" s="56">
        <v>71.5</v>
      </c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</row>
    <row r="592" spans="1:39" x14ac:dyDescent="0.4">
      <c r="A592" s="56"/>
      <c r="B592" s="59"/>
      <c r="C592" s="56"/>
      <c r="D592" s="56"/>
      <c r="E592" s="56"/>
      <c r="F592" s="57"/>
      <c r="G592" s="57"/>
      <c r="H592" s="57"/>
      <c r="I592" s="56"/>
      <c r="J592" s="56"/>
      <c r="K592" s="56"/>
      <c r="L592" s="56" t="s">
        <v>719</v>
      </c>
      <c r="M592" s="56">
        <v>53</v>
      </c>
      <c r="N592" s="56">
        <v>1</v>
      </c>
      <c r="O592" s="57">
        <v>53000</v>
      </c>
      <c r="P592" s="56">
        <v>0</v>
      </c>
      <c r="Q592" s="56">
        <v>0</v>
      </c>
      <c r="R592" s="56">
        <v>53</v>
      </c>
      <c r="S592" s="56">
        <v>53</v>
      </c>
      <c r="T592" s="56">
        <v>0</v>
      </c>
      <c r="U592" s="56">
        <v>0</v>
      </c>
      <c r="V592" s="56">
        <v>53</v>
      </c>
      <c r="W592" s="56">
        <v>53</v>
      </c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</row>
    <row r="593" spans="1:39" x14ac:dyDescent="0.4">
      <c r="A593" s="56"/>
      <c r="B593" s="59"/>
      <c r="C593" s="56"/>
      <c r="D593" s="56"/>
      <c r="E593" s="56"/>
      <c r="F593" s="57"/>
      <c r="G593" s="57"/>
      <c r="H593" s="57"/>
      <c r="I593" s="56"/>
      <c r="J593" s="56"/>
      <c r="K593" s="56"/>
      <c r="L593" s="56" t="s">
        <v>720</v>
      </c>
      <c r="M593" s="56">
        <v>48</v>
      </c>
      <c r="N593" s="56">
        <v>1</v>
      </c>
      <c r="O593" s="57">
        <v>48000</v>
      </c>
      <c r="P593" s="56">
        <v>0</v>
      </c>
      <c r="Q593" s="56">
        <v>0</v>
      </c>
      <c r="R593" s="56">
        <v>48</v>
      </c>
      <c r="S593" s="56">
        <v>48</v>
      </c>
      <c r="T593" s="56">
        <v>0</v>
      </c>
      <c r="U593" s="56">
        <v>0</v>
      </c>
      <c r="V593" s="56">
        <v>48</v>
      </c>
      <c r="W593" s="56">
        <v>48</v>
      </c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</row>
    <row r="594" spans="1:39" x14ac:dyDescent="0.4">
      <c r="A594" s="56"/>
      <c r="B594" s="59"/>
      <c r="C594" s="56"/>
      <c r="D594" s="56"/>
      <c r="E594" s="56"/>
      <c r="F594" s="57"/>
      <c r="G594" s="57"/>
      <c r="H594" s="57"/>
      <c r="I594" s="56"/>
      <c r="J594" s="56"/>
      <c r="K594" s="56" t="s">
        <v>721</v>
      </c>
      <c r="L594" s="56"/>
      <c r="M594" s="56"/>
      <c r="N594" s="56"/>
      <c r="O594" s="57">
        <v>172500</v>
      </c>
      <c r="P594" s="56"/>
      <c r="Q594" s="56">
        <v>0</v>
      </c>
      <c r="R594" s="56"/>
      <c r="S594" s="56">
        <v>172.5</v>
      </c>
      <c r="T594" s="56"/>
      <c r="U594" s="56">
        <v>0</v>
      </c>
      <c r="V594" s="56"/>
      <c r="W594" s="56">
        <v>172.5</v>
      </c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</row>
    <row r="595" spans="1:39" x14ac:dyDescent="0.4">
      <c r="A595" s="56"/>
      <c r="B595" s="59"/>
      <c r="C595" s="56"/>
      <c r="D595" s="56"/>
      <c r="E595" s="56"/>
      <c r="F595" s="57"/>
      <c r="G595" s="57"/>
      <c r="H595" s="57"/>
      <c r="I595" s="56"/>
      <c r="J595" s="56"/>
      <c r="K595" s="56" t="s">
        <v>722</v>
      </c>
      <c r="L595" s="56"/>
      <c r="M595" s="56"/>
      <c r="N595" s="56"/>
      <c r="O595" s="57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</row>
    <row r="596" spans="1:39" x14ac:dyDescent="0.4">
      <c r="A596" s="56"/>
      <c r="B596" s="59"/>
      <c r="C596" s="56"/>
      <c r="D596" s="56"/>
      <c r="E596" s="56"/>
      <c r="F596" s="57"/>
      <c r="G596" s="57"/>
      <c r="H596" s="57"/>
      <c r="I596" s="56"/>
      <c r="J596" s="56" t="s">
        <v>243</v>
      </c>
      <c r="K596" s="56"/>
      <c r="L596" s="58" t="s">
        <v>723</v>
      </c>
      <c r="M596" s="56"/>
      <c r="N596" s="56"/>
      <c r="O596" s="57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</row>
    <row r="597" spans="1:39" x14ac:dyDescent="0.4">
      <c r="A597" s="56"/>
      <c r="B597" s="59"/>
      <c r="C597" s="56"/>
      <c r="D597" s="56"/>
      <c r="E597" s="56"/>
      <c r="F597" s="57"/>
      <c r="G597" s="57"/>
      <c r="H597" s="57"/>
      <c r="I597" s="56"/>
      <c r="J597" s="56" t="s">
        <v>243</v>
      </c>
      <c r="K597" s="56"/>
      <c r="L597" s="56" t="s">
        <v>772</v>
      </c>
      <c r="M597" s="56">
        <v>31.5</v>
      </c>
      <c r="N597" s="56">
        <v>2</v>
      </c>
      <c r="O597" s="57">
        <v>63000</v>
      </c>
      <c r="P597" s="56">
        <v>0</v>
      </c>
      <c r="Q597" s="56">
        <v>0</v>
      </c>
      <c r="R597" s="56">
        <v>31.5</v>
      </c>
      <c r="S597" s="56">
        <v>63</v>
      </c>
      <c r="T597" s="56">
        <v>0</v>
      </c>
      <c r="U597" s="56">
        <v>0</v>
      </c>
      <c r="V597" s="56">
        <v>31.5</v>
      </c>
      <c r="W597" s="56">
        <v>63</v>
      </c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</row>
    <row r="598" spans="1:39" x14ac:dyDescent="0.4">
      <c r="A598" s="56"/>
      <c r="B598" s="59"/>
      <c r="C598" s="56"/>
      <c r="D598" s="56"/>
      <c r="E598" s="56"/>
      <c r="F598" s="57"/>
      <c r="G598" s="57"/>
      <c r="H598" s="57"/>
      <c r="I598" s="56"/>
      <c r="J598" s="56" t="s">
        <v>243</v>
      </c>
      <c r="K598" s="56"/>
      <c r="L598" s="56" t="s">
        <v>985</v>
      </c>
      <c r="M598" s="56">
        <v>2.9</v>
      </c>
      <c r="N598" s="56">
        <v>5</v>
      </c>
      <c r="O598" s="57">
        <v>14500</v>
      </c>
      <c r="P598" s="56">
        <v>0</v>
      </c>
      <c r="Q598" s="56">
        <v>0</v>
      </c>
      <c r="R598" s="56">
        <v>2.9</v>
      </c>
      <c r="S598" s="56">
        <v>14.5</v>
      </c>
      <c r="T598" s="56">
        <v>0</v>
      </c>
      <c r="U598" s="56">
        <v>0</v>
      </c>
      <c r="V598" s="56">
        <v>2.9</v>
      </c>
      <c r="W598" s="56">
        <v>14.5</v>
      </c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</row>
    <row r="599" spans="1:39" x14ac:dyDescent="0.4">
      <c r="A599" s="56"/>
      <c r="B599" s="59"/>
      <c r="C599" s="56"/>
      <c r="D599" s="56"/>
      <c r="E599" s="56"/>
      <c r="F599" s="57"/>
      <c r="G599" s="57"/>
      <c r="H599" s="57"/>
      <c r="I599" s="56"/>
      <c r="J599" s="56" t="s">
        <v>243</v>
      </c>
      <c r="K599" s="56"/>
      <c r="L599" s="56" t="s">
        <v>986</v>
      </c>
      <c r="M599" s="56">
        <v>8.6</v>
      </c>
      <c r="N599" s="56">
        <v>1</v>
      </c>
      <c r="O599" s="57">
        <v>8600</v>
      </c>
      <c r="P599" s="56">
        <v>0</v>
      </c>
      <c r="Q599" s="56">
        <v>0</v>
      </c>
      <c r="R599" s="56">
        <v>8.6</v>
      </c>
      <c r="S599" s="56">
        <v>8.6</v>
      </c>
      <c r="T599" s="56">
        <v>0</v>
      </c>
      <c r="U599" s="56">
        <v>0</v>
      </c>
      <c r="V599" s="56">
        <v>8.6</v>
      </c>
      <c r="W599" s="56">
        <v>8.6</v>
      </c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</row>
    <row r="600" spans="1:39" x14ac:dyDescent="0.4">
      <c r="A600" s="56"/>
      <c r="B600" s="59"/>
      <c r="C600" s="56"/>
      <c r="D600" s="56"/>
      <c r="E600" s="56"/>
      <c r="F600" s="57"/>
      <c r="G600" s="57"/>
      <c r="H600" s="57"/>
      <c r="I600" s="56"/>
      <c r="J600" s="56" t="s">
        <v>243</v>
      </c>
      <c r="K600" s="56"/>
      <c r="L600" s="56" t="s">
        <v>987</v>
      </c>
      <c r="M600" s="56">
        <v>8.6</v>
      </c>
      <c r="N600" s="56">
        <v>1</v>
      </c>
      <c r="O600" s="57">
        <v>8600</v>
      </c>
      <c r="P600" s="56">
        <v>0</v>
      </c>
      <c r="Q600" s="56">
        <v>0</v>
      </c>
      <c r="R600" s="56">
        <v>8.6</v>
      </c>
      <c r="S600" s="56">
        <v>8.6</v>
      </c>
      <c r="T600" s="56">
        <v>0</v>
      </c>
      <c r="U600" s="56">
        <v>0</v>
      </c>
      <c r="V600" s="56">
        <v>8.6</v>
      </c>
      <c r="W600" s="56">
        <v>8.6</v>
      </c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</row>
    <row r="601" spans="1:39" x14ac:dyDescent="0.4">
      <c r="A601" s="56"/>
      <c r="B601" s="59"/>
      <c r="C601" s="56"/>
      <c r="D601" s="56"/>
      <c r="E601" s="56"/>
      <c r="F601" s="57"/>
      <c r="G601" s="57"/>
      <c r="H601" s="57"/>
      <c r="I601" s="56"/>
      <c r="J601" s="56" t="s">
        <v>243</v>
      </c>
      <c r="K601" s="56"/>
      <c r="L601" s="56" t="s">
        <v>988</v>
      </c>
      <c r="M601" s="56">
        <v>13</v>
      </c>
      <c r="N601" s="56">
        <v>1</v>
      </c>
      <c r="O601" s="57">
        <v>13000</v>
      </c>
      <c r="P601" s="56">
        <v>0</v>
      </c>
      <c r="Q601" s="56">
        <v>0</v>
      </c>
      <c r="R601" s="56">
        <v>13</v>
      </c>
      <c r="S601" s="56">
        <v>13</v>
      </c>
      <c r="T601" s="56">
        <v>0</v>
      </c>
      <c r="U601" s="56">
        <v>0</v>
      </c>
      <c r="V601" s="56">
        <v>13</v>
      </c>
      <c r="W601" s="56">
        <v>13</v>
      </c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</row>
    <row r="602" spans="1:39" x14ac:dyDescent="0.4">
      <c r="A602" s="56"/>
      <c r="B602" s="59"/>
      <c r="C602" s="56"/>
      <c r="D602" s="56"/>
      <c r="E602" s="56"/>
      <c r="F602" s="57"/>
      <c r="G602" s="57"/>
      <c r="H602" s="57"/>
      <c r="I602" s="56"/>
      <c r="J602" s="56" t="s">
        <v>243</v>
      </c>
      <c r="K602" s="56"/>
      <c r="L602" s="56" t="s">
        <v>773</v>
      </c>
      <c r="M602" s="56">
        <v>17.5</v>
      </c>
      <c r="N602" s="56">
        <v>3</v>
      </c>
      <c r="O602" s="57">
        <v>52500</v>
      </c>
      <c r="P602" s="56">
        <v>0</v>
      </c>
      <c r="Q602" s="56">
        <v>0</v>
      </c>
      <c r="R602" s="56">
        <v>17.5</v>
      </c>
      <c r="S602" s="56">
        <v>52.5</v>
      </c>
      <c r="T602" s="56">
        <v>0</v>
      </c>
      <c r="U602" s="56">
        <v>0</v>
      </c>
      <c r="V602" s="56">
        <v>17.5</v>
      </c>
      <c r="W602" s="56">
        <v>52.5</v>
      </c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</row>
    <row r="603" spans="1:39" x14ac:dyDescent="0.4">
      <c r="A603" s="56"/>
      <c r="B603" s="59"/>
      <c r="C603" s="56"/>
      <c r="D603" s="56"/>
      <c r="E603" s="56"/>
      <c r="F603" s="57"/>
      <c r="G603" s="57"/>
      <c r="H603" s="57"/>
      <c r="I603" s="56"/>
      <c r="J603" s="56" t="s">
        <v>243</v>
      </c>
      <c r="K603" s="56"/>
      <c r="L603" s="56" t="s">
        <v>724</v>
      </c>
      <c r="M603" s="56">
        <v>1.5</v>
      </c>
      <c r="N603" s="56">
        <v>5</v>
      </c>
      <c r="O603" s="57">
        <v>7500</v>
      </c>
      <c r="P603" s="56">
        <v>0</v>
      </c>
      <c r="Q603" s="56">
        <v>0</v>
      </c>
      <c r="R603" s="56">
        <v>1.5</v>
      </c>
      <c r="S603" s="56">
        <v>7.5</v>
      </c>
      <c r="T603" s="56">
        <v>0</v>
      </c>
      <c r="U603" s="56">
        <v>0</v>
      </c>
      <c r="V603" s="56">
        <v>1.5</v>
      </c>
      <c r="W603" s="56">
        <v>7.5</v>
      </c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</row>
    <row r="604" spans="1:39" x14ac:dyDescent="0.4">
      <c r="A604" s="56"/>
      <c r="B604" s="59"/>
      <c r="C604" s="56"/>
      <c r="D604" s="56"/>
      <c r="E604" s="56"/>
      <c r="F604" s="57"/>
      <c r="G604" s="57"/>
      <c r="H604" s="57"/>
      <c r="I604" s="56"/>
      <c r="J604" s="56" t="s">
        <v>243</v>
      </c>
      <c r="K604" s="56"/>
      <c r="L604" s="56" t="s">
        <v>856</v>
      </c>
      <c r="M604" s="56">
        <v>7</v>
      </c>
      <c r="N604" s="56">
        <v>1</v>
      </c>
      <c r="O604" s="57">
        <v>7000</v>
      </c>
      <c r="P604" s="56">
        <v>0</v>
      </c>
      <c r="Q604" s="56">
        <v>0</v>
      </c>
      <c r="R604" s="56">
        <v>7</v>
      </c>
      <c r="S604" s="56">
        <v>7</v>
      </c>
      <c r="T604" s="56">
        <v>0</v>
      </c>
      <c r="U604" s="56">
        <v>0</v>
      </c>
      <c r="V604" s="56">
        <v>7</v>
      </c>
      <c r="W604" s="56">
        <v>7</v>
      </c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</row>
    <row r="605" spans="1:39" x14ac:dyDescent="0.4">
      <c r="A605" s="56"/>
      <c r="B605" s="59"/>
      <c r="C605" s="56"/>
      <c r="D605" s="56"/>
      <c r="E605" s="56"/>
      <c r="F605" s="57"/>
      <c r="G605" s="57"/>
      <c r="H605" s="57"/>
      <c r="I605" s="56"/>
      <c r="J605" s="56" t="s">
        <v>243</v>
      </c>
      <c r="K605" s="56"/>
      <c r="L605" s="56" t="s">
        <v>828</v>
      </c>
      <c r="M605" s="56">
        <v>30</v>
      </c>
      <c r="N605" s="56">
        <v>4</v>
      </c>
      <c r="O605" s="57">
        <v>120000</v>
      </c>
      <c r="P605" s="56">
        <v>0</v>
      </c>
      <c r="Q605" s="56">
        <v>0</v>
      </c>
      <c r="R605" s="56">
        <v>30</v>
      </c>
      <c r="S605" s="56">
        <v>120</v>
      </c>
      <c r="T605" s="56">
        <v>0</v>
      </c>
      <c r="U605" s="56">
        <v>0</v>
      </c>
      <c r="V605" s="56">
        <v>30</v>
      </c>
      <c r="W605" s="56">
        <v>120</v>
      </c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</row>
    <row r="606" spans="1:39" x14ac:dyDescent="0.4">
      <c r="A606" s="56"/>
      <c r="B606" s="59"/>
      <c r="C606" s="56"/>
      <c r="D606" s="56"/>
      <c r="E606" s="56"/>
      <c r="F606" s="57"/>
      <c r="G606" s="57"/>
      <c r="H606" s="57"/>
      <c r="I606" s="56"/>
      <c r="J606" s="56" t="s">
        <v>243</v>
      </c>
      <c r="K606" s="56"/>
      <c r="L606" s="56" t="s">
        <v>989</v>
      </c>
      <c r="M606" s="56">
        <v>26</v>
      </c>
      <c r="N606" s="56">
        <v>1</v>
      </c>
      <c r="O606" s="57">
        <v>26000</v>
      </c>
      <c r="P606" s="56">
        <v>0</v>
      </c>
      <c r="Q606" s="56">
        <v>0</v>
      </c>
      <c r="R606" s="56">
        <v>26</v>
      </c>
      <c r="S606" s="56">
        <v>26</v>
      </c>
      <c r="T606" s="56">
        <v>0</v>
      </c>
      <c r="U606" s="56">
        <v>0</v>
      </c>
      <c r="V606" s="56">
        <v>26</v>
      </c>
      <c r="W606" s="56">
        <v>26</v>
      </c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</row>
    <row r="607" spans="1:39" x14ac:dyDescent="0.4">
      <c r="A607" s="56"/>
      <c r="B607" s="59"/>
      <c r="C607" s="56"/>
      <c r="D607" s="56"/>
      <c r="E607" s="56"/>
      <c r="F607" s="57"/>
      <c r="G607" s="57"/>
      <c r="H607" s="57"/>
      <c r="I607" s="56"/>
      <c r="J607" s="56" t="s">
        <v>243</v>
      </c>
      <c r="K607" s="56"/>
      <c r="L607" s="56" t="s">
        <v>725</v>
      </c>
      <c r="M607" s="56"/>
      <c r="N607" s="56"/>
      <c r="O607" s="57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</row>
    <row r="608" spans="1:39" x14ac:dyDescent="0.4">
      <c r="A608" s="56"/>
      <c r="B608" s="59"/>
      <c r="C608" s="56"/>
      <c r="D608" s="56"/>
      <c r="E608" s="56"/>
      <c r="F608" s="57"/>
      <c r="G608" s="57"/>
      <c r="H608" s="57"/>
      <c r="I608" s="56"/>
      <c r="J608" s="56" t="s">
        <v>243</v>
      </c>
      <c r="K608" s="56"/>
      <c r="L608" s="56" t="s">
        <v>726</v>
      </c>
      <c r="M608" s="56">
        <v>7.9</v>
      </c>
      <c r="N608" s="56">
        <v>50</v>
      </c>
      <c r="O608" s="57">
        <v>395000</v>
      </c>
      <c r="P608" s="56">
        <v>0</v>
      </c>
      <c r="Q608" s="56">
        <v>0</v>
      </c>
      <c r="R608" s="56">
        <v>7.9</v>
      </c>
      <c r="S608" s="56">
        <v>395</v>
      </c>
      <c r="T608" s="56">
        <v>0</v>
      </c>
      <c r="U608" s="56">
        <v>0</v>
      </c>
      <c r="V608" s="56">
        <v>7.9</v>
      </c>
      <c r="W608" s="56">
        <v>395</v>
      </c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</row>
    <row r="609" spans="1:39" x14ac:dyDescent="0.4">
      <c r="A609" s="56"/>
      <c r="B609" s="59"/>
      <c r="C609" s="56"/>
      <c r="D609" s="56"/>
      <c r="E609" s="56"/>
      <c r="F609" s="57"/>
      <c r="G609" s="57"/>
      <c r="H609" s="57"/>
      <c r="I609" s="56"/>
      <c r="J609" s="56" t="s">
        <v>243</v>
      </c>
      <c r="K609" s="56"/>
      <c r="L609" s="56" t="s">
        <v>727</v>
      </c>
      <c r="M609" s="56">
        <v>300</v>
      </c>
      <c r="N609" s="56">
        <v>1</v>
      </c>
      <c r="O609" s="57">
        <v>300000</v>
      </c>
      <c r="P609" s="56">
        <v>0</v>
      </c>
      <c r="Q609" s="56">
        <v>0</v>
      </c>
      <c r="R609" s="56">
        <v>300</v>
      </c>
      <c r="S609" s="56">
        <v>300</v>
      </c>
      <c r="T609" s="56">
        <v>0</v>
      </c>
      <c r="U609" s="56">
        <v>0</v>
      </c>
      <c r="V609" s="56">
        <v>300</v>
      </c>
      <c r="W609" s="56">
        <v>300</v>
      </c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</row>
    <row r="610" spans="1:39" x14ac:dyDescent="0.4">
      <c r="A610" s="56"/>
      <c r="B610" s="59"/>
      <c r="C610" s="56"/>
      <c r="D610" s="56"/>
      <c r="E610" s="56"/>
      <c r="F610" s="57"/>
      <c r="G610" s="57"/>
      <c r="H610" s="57"/>
      <c r="I610" s="56"/>
      <c r="J610" s="56" t="s">
        <v>243</v>
      </c>
      <c r="K610" s="56"/>
      <c r="L610" s="56" t="s">
        <v>728</v>
      </c>
      <c r="M610" s="56">
        <v>20</v>
      </c>
      <c r="N610" s="56">
        <v>1</v>
      </c>
      <c r="O610" s="57">
        <v>20000</v>
      </c>
      <c r="P610" s="56">
        <v>0</v>
      </c>
      <c r="Q610" s="56">
        <v>0</v>
      </c>
      <c r="R610" s="56">
        <v>20</v>
      </c>
      <c r="S610" s="56">
        <v>20</v>
      </c>
      <c r="T610" s="56">
        <v>0</v>
      </c>
      <c r="U610" s="56">
        <v>0</v>
      </c>
      <c r="V610" s="56">
        <v>20</v>
      </c>
      <c r="W610" s="56">
        <v>20</v>
      </c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</row>
    <row r="611" spans="1:39" x14ac:dyDescent="0.4">
      <c r="A611" s="56"/>
      <c r="B611" s="59"/>
      <c r="C611" s="56"/>
      <c r="D611" s="56"/>
      <c r="E611" s="56"/>
      <c r="F611" s="57"/>
      <c r="G611" s="57"/>
      <c r="H611" s="57"/>
      <c r="I611" s="56"/>
      <c r="J611" s="56" t="s">
        <v>243</v>
      </c>
      <c r="K611" s="56"/>
      <c r="L611" s="56" t="s">
        <v>729</v>
      </c>
      <c r="M611" s="56">
        <v>20</v>
      </c>
      <c r="N611" s="56">
        <v>1</v>
      </c>
      <c r="O611" s="57">
        <v>20000</v>
      </c>
      <c r="P611" s="56">
        <v>0</v>
      </c>
      <c r="Q611" s="56">
        <v>0</v>
      </c>
      <c r="R611" s="56">
        <v>20</v>
      </c>
      <c r="S611" s="56">
        <v>20</v>
      </c>
      <c r="T611" s="56">
        <v>0</v>
      </c>
      <c r="U611" s="56">
        <v>0</v>
      </c>
      <c r="V611" s="56">
        <v>20</v>
      </c>
      <c r="W611" s="56">
        <v>20</v>
      </c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</row>
    <row r="612" spans="1:39" x14ac:dyDescent="0.4">
      <c r="A612" s="56"/>
      <c r="B612" s="59"/>
      <c r="C612" s="56"/>
      <c r="D612" s="56"/>
      <c r="E612" s="56"/>
      <c r="F612" s="57"/>
      <c r="G612" s="57"/>
      <c r="H612" s="57"/>
      <c r="I612" s="56"/>
      <c r="J612" s="56" t="s">
        <v>243</v>
      </c>
      <c r="K612" s="56"/>
      <c r="L612" s="56" t="s">
        <v>990</v>
      </c>
      <c r="M612" s="56">
        <v>15.3</v>
      </c>
      <c r="N612" s="56">
        <v>2</v>
      </c>
      <c r="O612" s="57">
        <v>30600</v>
      </c>
      <c r="P612" s="56">
        <v>0</v>
      </c>
      <c r="Q612" s="56">
        <v>0</v>
      </c>
      <c r="R612" s="56">
        <v>15.3</v>
      </c>
      <c r="S612" s="56">
        <v>30.6</v>
      </c>
      <c r="T612" s="56">
        <v>0</v>
      </c>
      <c r="U612" s="56">
        <v>0</v>
      </c>
      <c r="V612" s="56">
        <v>15.3</v>
      </c>
      <c r="W612" s="56">
        <v>30.6</v>
      </c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</row>
    <row r="613" spans="1:39" x14ac:dyDescent="0.4">
      <c r="A613" s="56"/>
      <c r="B613" s="59"/>
      <c r="C613" s="56"/>
      <c r="D613" s="56"/>
      <c r="E613" s="56"/>
      <c r="F613" s="57"/>
      <c r="G613" s="57"/>
      <c r="H613" s="57"/>
      <c r="I613" s="56"/>
      <c r="J613" s="56" t="s">
        <v>243</v>
      </c>
      <c r="K613" s="56"/>
      <c r="L613" s="56" t="s">
        <v>730</v>
      </c>
      <c r="M613" s="56"/>
      <c r="N613" s="56"/>
      <c r="O613" s="57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</row>
    <row r="614" spans="1:39" x14ac:dyDescent="0.4">
      <c r="A614" s="56"/>
      <c r="B614" s="59"/>
      <c r="C614" s="56"/>
      <c r="D614" s="56"/>
      <c r="E614" s="56"/>
      <c r="F614" s="57"/>
      <c r="G614" s="57"/>
      <c r="H614" s="57"/>
      <c r="I614" s="56"/>
      <c r="J614" s="56" t="s">
        <v>243</v>
      </c>
      <c r="K614" s="56"/>
      <c r="L614" s="56" t="s">
        <v>731</v>
      </c>
      <c r="M614" s="56">
        <v>9</v>
      </c>
      <c r="N614" s="56">
        <v>2</v>
      </c>
      <c r="O614" s="57">
        <v>18000</v>
      </c>
      <c r="P614" s="56">
        <v>0</v>
      </c>
      <c r="Q614" s="56">
        <v>0</v>
      </c>
      <c r="R614" s="56">
        <v>9</v>
      </c>
      <c r="S614" s="56">
        <v>18</v>
      </c>
      <c r="T614" s="56">
        <v>0</v>
      </c>
      <c r="U614" s="56">
        <v>0</v>
      </c>
      <c r="V614" s="56">
        <v>9</v>
      </c>
      <c r="W614" s="56">
        <v>18</v>
      </c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</row>
    <row r="615" spans="1:39" x14ac:dyDescent="0.4">
      <c r="A615" s="56"/>
      <c r="B615" s="59"/>
      <c r="C615" s="56"/>
      <c r="D615" s="56"/>
      <c r="E615" s="56"/>
      <c r="F615" s="57"/>
      <c r="G615" s="57"/>
      <c r="H615" s="57"/>
      <c r="I615" s="56"/>
      <c r="J615" s="56" t="s">
        <v>243</v>
      </c>
      <c r="K615" s="56"/>
      <c r="L615" s="56" t="s">
        <v>732</v>
      </c>
      <c r="M615" s="56">
        <v>3</v>
      </c>
      <c r="N615" s="56">
        <v>2</v>
      </c>
      <c r="O615" s="57">
        <v>6000</v>
      </c>
      <c r="P615" s="56">
        <v>0</v>
      </c>
      <c r="Q615" s="56">
        <v>0</v>
      </c>
      <c r="R615" s="56">
        <v>3</v>
      </c>
      <c r="S615" s="56">
        <v>6</v>
      </c>
      <c r="T615" s="56">
        <v>0</v>
      </c>
      <c r="U615" s="56">
        <v>0</v>
      </c>
      <c r="V615" s="56">
        <v>3</v>
      </c>
      <c r="W615" s="56">
        <v>6</v>
      </c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</row>
    <row r="616" spans="1:39" x14ac:dyDescent="0.4">
      <c r="A616" s="56"/>
      <c r="B616" s="59"/>
      <c r="C616" s="56"/>
      <c r="D616" s="56"/>
      <c r="E616" s="56"/>
      <c r="F616" s="57"/>
      <c r="G616" s="57"/>
      <c r="H616" s="57"/>
      <c r="I616" s="56"/>
      <c r="J616" s="56" t="s">
        <v>243</v>
      </c>
      <c r="K616" s="56"/>
      <c r="L616" s="56" t="s">
        <v>733</v>
      </c>
      <c r="M616" s="56">
        <v>10</v>
      </c>
      <c r="N616" s="56">
        <v>1</v>
      </c>
      <c r="O616" s="57">
        <v>10000</v>
      </c>
      <c r="P616" s="56">
        <v>0</v>
      </c>
      <c r="Q616" s="56">
        <v>0</v>
      </c>
      <c r="R616" s="56">
        <v>10</v>
      </c>
      <c r="S616" s="56">
        <v>10</v>
      </c>
      <c r="T616" s="56">
        <v>0</v>
      </c>
      <c r="U616" s="56">
        <v>0</v>
      </c>
      <c r="V616" s="56">
        <v>10</v>
      </c>
      <c r="W616" s="56">
        <v>10</v>
      </c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</row>
    <row r="617" spans="1:39" x14ac:dyDescent="0.4">
      <c r="A617" s="56"/>
      <c r="B617" s="59"/>
      <c r="C617" s="56"/>
      <c r="D617" s="56"/>
      <c r="E617" s="56"/>
      <c r="F617" s="57"/>
      <c r="G617" s="57"/>
      <c r="H617" s="57"/>
      <c r="I617" s="56"/>
      <c r="J617" s="56" t="s">
        <v>243</v>
      </c>
      <c r="K617" s="56"/>
      <c r="L617" s="56" t="s">
        <v>734</v>
      </c>
      <c r="M617" s="56">
        <v>4.5999999999999996</v>
      </c>
      <c r="N617" s="56">
        <v>4</v>
      </c>
      <c r="O617" s="57">
        <v>18400</v>
      </c>
      <c r="P617" s="56">
        <v>0</v>
      </c>
      <c r="Q617" s="56">
        <v>0</v>
      </c>
      <c r="R617" s="56">
        <v>4.5999999999999996</v>
      </c>
      <c r="S617" s="56">
        <v>18.399999999999999</v>
      </c>
      <c r="T617" s="56">
        <v>0</v>
      </c>
      <c r="U617" s="56">
        <v>0</v>
      </c>
      <c r="V617" s="56">
        <v>4.5999999999999996</v>
      </c>
      <c r="W617" s="56">
        <v>18.399999999999999</v>
      </c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</row>
    <row r="618" spans="1:39" x14ac:dyDescent="0.4">
      <c r="A618" s="56"/>
      <c r="B618" s="59"/>
      <c r="C618" s="56"/>
      <c r="D618" s="56"/>
      <c r="E618" s="56"/>
      <c r="F618" s="57"/>
      <c r="G618" s="57"/>
      <c r="H618" s="57"/>
      <c r="I618" s="56"/>
      <c r="J618" s="56" t="s">
        <v>243</v>
      </c>
      <c r="K618" s="56"/>
      <c r="L618" s="56" t="s">
        <v>735</v>
      </c>
      <c r="M618" s="56">
        <v>6.6</v>
      </c>
      <c r="N618" s="56">
        <v>1</v>
      </c>
      <c r="O618" s="57">
        <v>6600</v>
      </c>
      <c r="P618" s="56">
        <v>0</v>
      </c>
      <c r="Q618" s="56">
        <v>0</v>
      </c>
      <c r="R618" s="56">
        <v>6.6</v>
      </c>
      <c r="S618" s="56">
        <v>6.6</v>
      </c>
      <c r="T618" s="56">
        <v>0</v>
      </c>
      <c r="U618" s="56">
        <v>0</v>
      </c>
      <c r="V618" s="56">
        <v>6.6</v>
      </c>
      <c r="W618" s="56">
        <v>6.6</v>
      </c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</row>
    <row r="619" spans="1:39" x14ac:dyDescent="0.4">
      <c r="A619" s="56"/>
      <c r="B619" s="59"/>
      <c r="C619" s="56"/>
      <c r="D619" s="56"/>
      <c r="E619" s="56"/>
      <c r="F619" s="57"/>
      <c r="G619" s="57"/>
      <c r="H619" s="57"/>
      <c r="I619" s="56"/>
      <c r="J619" s="56" t="s">
        <v>243</v>
      </c>
      <c r="K619" s="56"/>
      <c r="L619" s="56" t="s">
        <v>736</v>
      </c>
      <c r="M619" s="56">
        <v>19.100000000000001</v>
      </c>
      <c r="N619" s="56">
        <v>1</v>
      </c>
      <c r="O619" s="57">
        <v>19100</v>
      </c>
      <c r="P619" s="56">
        <v>0</v>
      </c>
      <c r="Q619" s="56">
        <v>0</v>
      </c>
      <c r="R619" s="56">
        <v>19.100000000000001</v>
      </c>
      <c r="S619" s="56">
        <v>19.100000000000001</v>
      </c>
      <c r="T619" s="56">
        <v>0</v>
      </c>
      <c r="U619" s="56">
        <v>0</v>
      </c>
      <c r="V619" s="56">
        <v>19.100000000000001</v>
      </c>
      <c r="W619" s="56">
        <v>19.100000000000001</v>
      </c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</row>
    <row r="620" spans="1:39" x14ac:dyDescent="0.4">
      <c r="A620" s="56"/>
      <c r="B620" s="59"/>
      <c r="C620" s="56"/>
      <c r="D620" s="56"/>
      <c r="E620" s="56"/>
      <c r="F620" s="57"/>
      <c r="G620" s="57"/>
      <c r="H620" s="57"/>
      <c r="I620" s="56"/>
      <c r="J620" s="56" t="s">
        <v>243</v>
      </c>
      <c r="K620" s="56"/>
      <c r="L620" s="58" t="s">
        <v>991</v>
      </c>
      <c r="M620" s="56">
        <v>3</v>
      </c>
      <c r="N620" s="56">
        <v>5</v>
      </c>
      <c r="O620" s="57">
        <v>15000</v>
      </c>
      <c r="P620" s="58">
        <v>0</v>
      </c>
      <c r="Q620" s="56">
        <v>0</v>
      </c>
      <c r="R620" s="56">
        <v>3</v>
      </c>
      <c r="S620" s="56">
        <v>15</v>
      </c>
      <c r="T620" s="56">
        <v>0</v>
      </c>
      <c r="U620" s="56">
        <v>0</v>
      </c>
      <c r="V620" s="56">
        <v>3</v>
      </c>
      <c r="W620" s="56">
        <v>15</v>
      </c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</row>
    <row r="621" spans="1:39" x14ac:dyDescent="0.4">
      <c r="A621" s="56"/>
      <c r="B621" s="59"/>
      <c r="C621" s="56"/>
      <c r="D621" s="56"/>
      <c r="E621" s="56"/>
      <c r="F621" s="57"/>
      <c r="G621" s="57"/>
      <c r="H621" s="57"/>
      <c r="I621" s="56"/>
      <c r="J621" s="56" t="s">
        <v>243</v>
      </c>
      <c r="K621" s="56"/>
      <c r="L621" s="56" t="s">
        <v>737</v>
      </c>
      <c r="M621" s="56">
        <v>28</v>
      </c>
      <c r="N621" s="56">
        <v>1</v>
      </c>
      <c r="O621" s="57">
        <v>28000</v>
      </c>
      <c r="P621" s="56">
        <v>0</v>
      </c>
      <c r="Q621" s="56">
        <v>0</v>
      </c>
      <c r="R621" s="56">
        <v>28</v>
      </c>
      <c r="S621" s="56">
        <v>28</v>
      </c>
      <c r="T621" s="56">
        <v>0</v>
      </c>
      <c r="U621" s="56">
        <v>0</v>
      </c>
      <c r="V621" s="56">
        <v>28</v>
      </c>
      <c r="W621" s="56">
        <v>28</v>
      </c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</row>
    <row r="622" spans="1:39" x14ac:dyDescent="0.4">
      <c r="A622" s="56"/>
      <c r="B622" s="59"/>
      <c r="C622" s="56"/>
      <c r="D622" s="56"/>
      <c r="E622" s="56"/>
      <c r="F622" s="57"/>
      <c r="G622" s="57"/>
      <c r="H622" s="57"/>
      <c r="I622" s="56"/>
      <c r="J622" s="56" t="s">
        <v>243</v>
      </c>
      <c r="K622" s="56"/>
      <c r="L622" s="56" t="s">
        <v>992</v>
      </c>
      <c r="M622" s="56">
        <v>4.2</v>
      </c>
      <c r="N622" s="56">
        <v>1</v>
      </c>
      <c r="O622" s="57">
        <v>4200</v>
      </c>
      <c r="P622" s="56">
        <v>0</v>
      </c>
      <c r="Q622" s="56">
        <v>0</v>
      </c>
      <c r="R622" s="56">
        <v>4.2</v>
      </c>
      <c r="S622" s="56">
        <v>4.2</v>
      </c>
      <c r="T622" s="56">
        <v>0</v>
      </c>
      <c r="U622" s="56">
        <v>0</v>
      </c>
      <c r="V622" s="56">
        <v>4.2</v>
      </c>
      <c r="W622" s="56">
        <v>4.2</v>
      </c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</row>
    <row r="623" spans="1:39" x14ac:dyDescent="0.4">
      <c r="A623" s="56"/>
      <c r="B623" s="59"/>
      <c r="C623" s="56"/>
      <c r="D623" s="56"/>
      <c r="E623" s="56"/>
      <c r="F623" s="57"/>
      <c r="G623" s="57"/>
      <c r="H623" s="57"/>
      <c r="I623" s="56"/>
      <c r="J623" s="56" t="s">
        <v>243</v>
      </c>
      <c r="K623" s="56"/>
      <c r="L623" s="56" t="s">
        <v>993</v>
      </c>
      <c r="M623" s="56">
        <v>16</v>
      </c>
      <c r="N623" s="56">
        <v>1</v>
      </c>
      <c r="O623" s="57">
        <v>16000</v>
      </c>
      <c r="P623" s="56">
        <v>0</v>
      </c>
      <c r="Q623" s="56">
        <v>0</v>
      </c>
      <c r="R623" s="56">
        <v>16</v>
      </c>
      <c r="S623" s="56">
        <v>16</v>
      </c>
      <c r="T623" s="56">
        <v>0</v>
      </c>
      <c r="U623" s="56">
        <v>0</v>
      </c>
      <c r="V623" s="56">
        <v>16</v>
      </c>
      <c r="W623" s="56">
        <v>16</v>
      </c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</row>
    <row r="624" spans="1:39" x14ac:dyDescent="0.4">
      <c r="A624" s="56"/>
      <c r="B624" s="59"/>
      <c r="C624" s="56"/>
      <c r="D624" s="56"/>
      <c r="E624" s="56"/>
      <c r="F624" s="57"/>
      <c r="G624" s="57"/>
      <c r="H624" s="57"/>
      <c r="I624" s="56"/>
      <c r="J624" s="56" t="s">
        <v>243</v>
      </c>
      <c r="K624" s="56"/>
      <c r="L624" s="56" t="s">
        <v>994</v>
      </c>
      <c r="M624" s="56">
        <v>30</v>
      </c>
      <c r="N624" s="56">
        <v>1</v>
      </c>
      <c r="O624" s="57">
        <v>30000</v>
      </c>
      <c r="P624" s="56">
        <v>0</v>
      </c>
      <c r="Q624" s="56">
        <v>0</v>
      </c>
      <c r="R624" s="56">
        <v>30</v>
      </c>
      <c r="S624" s="56">
        <v>30</v>
      </c>
      <c r="T624" s="56">
        <v>0</v>
      </c>
      <c r="U624" s="56">
        <v>0</v>
      </c>
      <c r="V624" s="56">
        <v>30</v>
      </c>
      <c r="W624" s="56">
        <v>30</v>
      </c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</row>
    <row r="625" spans="1:39" x14ac:dyDescent="0.4">
      <c r="A625" s="56"/>
      <c r="B625" s="59"/>
      <c r="C625" s="56"/>
      <c r="D625" s="56"/>
      <c r="E625" s="56"/>
      <c r="F625" s="57"/>
      <c r="G625" s="57"/>
      <c r="H625" s="57"/>
      <c r="I625" s="56"/>
      <c r="J625" s="56"/>
      <c r="K625" s="56" t="s">
        <v>738</v>
      </c>
      <c r="L625" s="56"/>
      <c r="M625" s="56"/>
      <c r="N625" s="56"/>
      <c r="O625" s="57">
        <v>1257600</v>
      </c>
      <c r="P625" s="56"/>
      <c r="Q625" s="56">
        <v>0</v>
      </c>
      <c r="R625" s="56"/>
      <c r="S625" s="56">
        <v>1257.5999999999999</v>
      </c>
      <c r="T625" s="56"/>
      <c r="U625" s="56">
        <v>0</v>
      </c>
      <c r="V625" s="56"/>
      <c r="W625" s="56">
        <v>1257.5999999999999</v>
      </c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</row>
    <row r="626" spans="1:39" x14ac:dyDescent="0.4">
      <c r="A626" s="56"/>
      <c r="B626" s="59"/>
      <c r="C626" s="56"/>
      <c r="D626" s="56"/>
      <c r="E626" s="56"/>
      <c r="F626" s="57"/>
      <c r="G626" s="57"/>
      <c r="H626" s="57"/>
      <c r="I626" s="56"/>
      <c r="J626" s="56" t="s">
        <v>233</v>
      </c>
      <c r="K626" s="56"/>
      <c r="L626" s="56"/>
      <c r="M626" s="56"/>
      <c r="N626" s="56"/>
      <c r="O626" s="57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</row>
    <row r="627" spans="1:39" x14ac:dyDescent="0.4">
      <c r="A627" s="56"/>
      <c r="B627" s="59"/>
      <c r="C627" s="56"/>
      <c r="D627" s="56"/>
      <c r="E627" s="56"/>
      <c r="F627" s="57"/>
      <c r="G627" s="57"/>
      <c r="H627" s="57"/>
      <c r="I627" s="56"/>
      <c r="J627" s="56"/>
      <c r="K627" s="56" t="s">
        <v>289</v>
      </c>
      <c r="L627" s="56"/>
      <c r="M627" s="56"/>
      <c r="N627" s="56"/>
      <c r="O627" s="57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</row>
    <row r="628" spans="1:39" x14ac:dyDescent="0.4">
      <c r="A628" s="56"/>
      <c r="B628" s="59"/>
      <c r="C628" s="56"/>
      <c r="D628" s="56"/>
      <c r="E628" s="56"/>
      <c r="F628" s="57"/>
      <c r="G628" s="57"/>
      <c r="H628" s="57"/>
      <c r="I628" s="56"/>
      <c r="J628" s="56"/>
      <c r="K628" s="56" t="s">
        <v>739</v>
      </c>
      <c r="L628" s="56"/>
      <c r="M628" s="56"/>
      <c r="N628" s="56"/>
      <c r="O628" s="57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</row>
    <row r="629" spans="1:39" x14ac:dyDescent="0.4">
      <c r="A629" s="56"/>
      <c r="B629" s="59"/>
      <c r="C629" s="56"/>
      <c r="D629" s="56"/>
      <c r="E629" s="56"/>
      <c r="F629" s="57"/>
      <c r="G629" s="57"/>
      <c r="H629" s="57"/>
      <c r="I629" s="56"/>
      <c r="J629" s="56"/>
      <c r="K629" s="56" t="s">
        <v>740</v>
      </c>
      <c r="L629" s="56"/>
      <c r="M629" s="56"/>
      <c r="N629" s="56"/>
      <c r="O629" s="57">
        <v>0</v>
      </c>
      <c r="P629" s="56"/>
      <c r="Q629" s="56">
        <v>0</v>
      </c>
      <c r="R629" s="56"/>
      <c r="S629" s="56">
        <v>0</v>
      </c>
      <c r="T629" s="56"/>
      <c r="U629" s="56">
        <v>0</v>
      </c>
      <c r="V629" s="56"/>
      <c r="W629" s="56">
        <v>0</v>
      </c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</row>
    <row r="630" spans="1:39" x14ac:dyDescent="0.4">
      <c r="A630" s="56"/>
      <c r="B630" s="59"/>
      <c r="C630" s="56"/>
      <c r="D630" s="56"/>
      <c r="E630" s="56"/>
      <c r="F630" s="57"/>
      <c r="G630" s="57"/>
      <c r="H630" s="57"/>
      <c r="I630" s="56"/>
      <c r="J630" s="56"/>
      <c r="K630" s="56" t="s">
        <v>289</v>
      </c>
      <c r="L630" s="56"/>
      <c r="M630" s="56"/>
      <c r="N630" s="56"/>
      <c r="O630" s="57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</row>
    <row r="631" spans="1:39" x14ac:dyDescent="0.4">
      <c r="A631" s="56"/>
      <c r="B631" s="59"/>
      <c r="C631" s="56"/>
      <c r="D631" s="56"/>
      <c r="E631" s="56"/>
      <c r="F631" s="57"/>
      <c r="G631" s="57"/>
      <c r="H631" s="57"/>
      <c r="I631" s="56"/>
      <c r="J631" s="56"/>
      <c r="K631" s="56"/>
      <c r="L631" s="56" t="s">
        <v>741</v>
      </c>
      <c r="M631" s="56"/>
      <c r="N631" s="56"/>
      <c r="O631" s="57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</row>
    <row r="632" spans="1:39" x14ac:dyDescent="0.4">
      <c r="A632" s="56"/>
      <c r="B632" s="59"/>
      <c r="C632" s="56"/>
      <c r="D632" s="56"/>
      <c r="E632" s="56"/>
      <c r="F632" s="57"/>
      <c r="G632" s="57"/>
      <c r="H632" s="57"/>
      <c r="I632" s="56"/>
      <c r="J632" s="56"/>
      <c r="K632" s="56"/>
      <c r="L632" s="56" t="s">
        <v>995</v>
      </c>
      <c r="M632" s="56">
        <v>-10</v>
      </c>
      <c r="N632" s="56">
        <v>31.2</v>
      </c>
      <c r="O632" s="57">
        <v>-312000</v>
      </c>
      <c r="P632" s="56">
        <v>0</v>
      </c>
      <c r="Q632" s="56">
        <v>0</v>
      </c>
      <c r="R632" s="56">
        <v>-10</v>
      </c>
      <c r="S632" s="56">
        <v>-312</v>
      </c>
      <c r="T632" s="56">
        <v>0</v>
      </c>
      <c r="U632" s="56">
        <v>0</v>
      </c>
      <c r="V632" s="56">
        <v>-10</v>
      </c>
      <c r="W632" s="56">
        <v>-312</v>
      </c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</row>
    <row r="633" spans="1:39" x14ac:dyDescent="0.4">
      <c r="A633" s="56"/>
      <c r="B633" s="59"/>
      <c r="C633" s="56"/>
      <c r="D633" s="56"/>
      <c r="E633" s="56"/>
      <c r="F633" s="57"/>
      <c r="G633" s="57"/>
      <c r="H633" s="57"/>
      <c r="I633" s="56"/>
      <c r="J633" s="56"/>
      <c r="K633" s="56" t="s">
        <v>289</v>
      </c>
      <c r="L633" s="56"/>
      <c r="M633" s="56"/>
      <c r="N633" s="56"/>
      <c r="O633" s="57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</row>
    <row r="634" spans="1:39" x14ac:dyDescent="0.4">
      <c r="A634" s="56"/>
      <c r="B634" s="59"/>
      <c r="C634" s="56"/>
      <c r="D634" s="56"/>
      <c r="E634" s="56"/>
      <c r="F634" s="57"/>
      <c r="G634" s="57"/>
      <c r="H634" s="57"/>
      <c r="I634" s="56"/>
      <c r="J634" s="56"/>
      <c r="K634" s="56" t="s">
        <v>742</v>
      </c>
      <c r="L634" s="56"/>
      <c r="M634" s="56"/>
      <c r="N634" s="56"/>
      <c r="O634" s="57">
        <v>-312000</v>
      </c>
      <c r="P634" s="56"/>
      <c r="Q634" s="56">
        <v>0</v>
      </c>
      <c r="R634" s="56"/>
      <c r="S634" s="56">
        <v>-312</v>
      </c>
      <c r="T634" s="56"/>
      <c r="U634" s="56">
        <v>0</v>
      </c>
      <c r="V634" s="56"/>
      <c r="W634" s="56">
        <v>-312</v>
      </c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</row>
    <row r="635" spans="1:39" x14ac:dyDescent="0.4">
      <c r="A635" s="56"/>
      <c r="B635" s="59"/>
      <c r="C635" s="56"/>
      <c r="D635" s="56"/>
      <c r="E635" s="56"/>
      <c r="F635" s="57"/>
      <c r="G635" s="57"/>
      <c r="H635" s="57"/>
      <c r="I635" s="56"/>
      <c r="J635" s="56"/>
      <c r="K635" s="56"/>
      <c r="L635" s="56"/>
      <c r="M635" s="56"/>
      <c r="N635" s="56"/>
      <c r="O635" s="57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</row>
    <row r="636" spans="1:39" x14ac:dyDescent="0.4">
      <c r="A636" s="56"/>
      <c r="B636" s="59"/>
      <c r="C636" s="56"/>
      <c r="D636" s="56"/>
      <c r="E636" s="56"/>
      <c r="F636" s="57"/>
      <c r="G636" s="57"/>
      <c r="H636" s="57"/>
      <c r="I636" s="56"/>
      <c r="J636" s="56"/>
      <c r="K636" s="56"/>
      <c r="L636" s="56"/>
      <c r="M636" s="56"/>
      <c r="N636" s="56"/>
      <c r="O636" s="57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</row>
    <row r="637" spans="1:39" x14ac:dyDescent="0.4">
      <c r="A637" s="56"/>
      <c r="B637" s="59"/>
      <c r="C637" s="56"/>
      <c r="D637" s="56"/>
      <c r="E637" s="56"/>
      <c r="F637" s="57"/>
      <c r="G637" s="57"/>
      <c r="H637" s="57"/>
      <c r="I637" s="56"/>
      <c r="J637" s="56"/>
      <c r="K637" s="56"/>
      <c r="L637" s="56"/>
      <c r="M637" s="56"/>
      <c r="N637" s="56"/>
      <c r="O637" s="57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</row>
    <row r="638" spans="1:39" x14ac:dyDescent="0.4">
      <c r="A638" s="56"/>
      <c r="B638" s="59"/>
      <c r="C638" s="56"/>
      <c r="D638" s="56"/>
      <c r="E638" s="56"/>
      <c r="F638" s="57"/>
      <c r="G638" s="57"/>
      <c r="H638" s="57"/>
      <c r="I638" s="56"/>
      <c r="J638" s="56"/>
      <c r="K638" s="56"/>
      <c r="L638" s="56"/>
      <c r="M638" s="56"/>
      <c r="N638" s="56"/>
      <c r="O638" s="57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</row>
    <row r="639" spans="1:39" x14ac:dyDescent="0.4">
      <c r="A639" s="56"/>
      <c r="B639" s="59"/>
      <c r="C639" s="56"/>
      <c r="D639" s="56"/>
      <c r="E639" s="56"/>
      <c r="F639" s="57"/>
      <c r="G639" s="57"/>
      <c r="H639" s="57"/>
      <c r="I639" s="56"/>
      <c r="J639" s="56"/>
      <c r="K639" s="56"/>
      <c r="L639" s="56"/>
      <c r="M639" s="56"/>
      <c r="N639" s="56"/>
      <c r="O639" s="57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</row>
    <row r="640" spans="1:39" x14ac:dyDescent="0.4">
      <c r="A640" s="56"/>
      <c r="B640" s="59"/>
      <c r="C640" s="56"/>
      <c r="D640" s="56"/>
      <c r="E640" s="56"/>
      <c r="F640" s="57"/>
      <c r="G640" s="57"/>
      <c r="H640" s="57"/>
      <c r="I640" s="56"/>
      <c r="J640" s="56"/>
      <c r="K640" s="56"/>
      <c r="L640" s="56"/>
      <c r="M640" s="56"/>
      <c r="N640" s="56"/>
      <c r="O640" s="57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</row>
    <row r="641" spans="1:39" x14ac:dyDescent="0.4">
      <c r="A641" s="56"/>
      <c r="B641" s="59"/>
      <c r="C641" s="56"/>
      <c r="D641" s="56"/>
      <c r="E641" s="56"/>
      <c r="F641" s="57"/>
      <c r="G641" s="57"/>
      <c r="H641" s="57"/>
      <c r="I641" s="56"/>
      <c r="J641" s="56"/>
      <c r="K641" s="56"/>
      <c r="L641" s="56"/>
      <c r="M641" s="56"/>
      <c r="N641" s="56"/>
      <c r="O641" s="57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</row>
    <row r="642" spans="1:39" x14ac:dyDescent="0.4">
      <c r="A642" s="56"/>
      <c r="B642" s="59"/>
      <c r="C642" s="56"/>
      <c r="D642" s="56"/>
      <c r="E642" s="56"/>
      <c r="F642" s="57"/>
      <c r="G642" s="57"/>
      <c r="H642" s="57"/>
      <c r="I642" s="56"/>
      <c r="J642" s="56"/>
      <c r="K642" s="56"/>
      <c r="L642" s="56"/>
      <c r="M642" s="56"/>
      <c r="N642" s="56"/>
      <c r="O642" s="57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</row>
    <row r="643" spans="1:39" x14ac:dyDescent="0.4">
      <c r="A643" s="56"/>
      <c r="B643" s="59"/>
      <c r="C643" s="56"/>
      <c r="D643" s="56"/>
      <c r="E643" s="56"/>
      <c r="F643" s="57"/>
      <c r="G643" s="57"/>
      <c r="H643" s="57"/>
      <c r="I643" s="56"/>
      <c r="J643" s="56"/>
      <c r="K643" s="56"/>
      <c r="L643" s="56"/>
      <c r="M643" s="56"/>
      <c r="N643" s="56"/>
      <c r="O643" s="57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</row>
    <row r="644" spans="1:39" x14ac:dyDescent="0.4">
      <c r="A644" s="56"/>
      <c r="B644" s="59"/>
      <c r="C644" s="56"/>
      <c r="D644" s="56"/>
      <c r="E644" s="56"/>
      <c r="F644" s="57"/>
      <c r="G644" s="57"/>
      <c r="H644" s="57"/>
      <c r="I644" s="56"/>
      <c r="J644" s="56"/>
      <c r="K644" s="56"/>
      <c r="L644" s="56"/>
      <c r="M644" s="56"/>
      <c r="N644" s="56"/>
      <c r="O644" s="57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</row>
    <row r="645" spans="1:39" x14ac:dyDescent="0.4">
      <c r="A645" s="56"/>
      <c r="B645" s="59"/>
      <c r="C645" s="56"/>
      <c r="D645" s="56"/>
      <c r="E645" s="56"/>
      <c r="F645" s="57"/>
      <c r="G645" s="57"/>
      <c r="H645" s="57"/>
      <c r="I645" s="56"/>
      <c r="J645" s="56"/>
      <c r="K645" s="56"/>
      <c r="L645" s="56"/>
      <c r="M645" s="56"/>
      <c r="N645" s="56"/>
      <c r="O645" s="57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</row>
    <row r="646" spans="1:39" x14ac:dyDescent="0.4">
      <c r="A646" s="56"/>
      <c r="B646" s="59"/>
      <c r="C646" s="56"/>
      <c r="D646" s="56"/>
      <c r="E646" s="56"/>
      <c r="F646" s="57"/>
      <c r="G646" s="57"/>
      <c r="H646" s="57"/>
      <c r="I646" s="56"/>
      <c r="J646" s="56"/>
      <c r="K646" s="56"/>
      <c r="L646" s="56"/>
      <c r="M646" s="56"/>
      <c r="N646" s="56"/>
      <c r="O646" s="57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</row>
    <row r="647" spans="1:39" x14ac:dyDescent="0.4">
      <c r="A647" s="56"/>
      <c r="B647" s="59"/>
      <c r="C647" s="56"/>
      <c r="D647" s="56"/>
      <c r="E647" s="56"/>
      <c r="F647" s="57"/>
      <c r="G647" s="57"/>
      <c r="H647" s="57"/>
      <c r="I647" s="56"/>
      <c r="J647" s="56"/>
      <c r="K647" s="56"/>
      <c r="L647" s="56"/>
      <c r="M647" s="56"/>
      <c r="N647" s="56"/>
      <c r="O647" s="57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</row>
    <row r="648" spans="1:39" x14ac:dyDescent="0.4">
      <c r="A648" s="56"/>
      <c r="B648" s="59"/>
      <c r="C648" s="56"/>
      <c r="D648" s="56"/>
      <c r="E648" s="56"/>
      <c r="F648" s="57"/>
      <c r="G648" s="57"/>
      <c r="H648" s="57"/>
      <c r="I648" s="56"/>
      <c r="J648" s="56"/>
      <c r="K648" s="56"/>
      <c r="L648" s="56"/>
      <c r="M648" s="56"/>
      <c r="N648" s="56"/>
      <c r="O648" s="57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</row>
    <row r="649" spans="1:39" x14ac:dyDescent="0.4">
      <c r="A649" s="56"/>
      <c r="B649" s="59"/>
      <c r="C649" s="56"/>
      <c r="D649" s="56"/>
      <c r="E649" s="56"/>
      <c r="F649" s="57"/>
      <c r="G649" s="57"/>
      <c r="H649" s="57"/>
      <c r="I649" s="56"/>
      <c r="J649" s="56"/>
      <c r="K649" s="56"/>
      <c r="L649" s="56"/>
      <c r="M649" s="56"/>
      <c r="N649" s="56"/>
      <c r="O649" s="57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</row>
    <row r="650" spans="1:39" x14ac:dyDescent="0.4">
      <c r="A650" s="56"/>
      <c r="B650" s="59"/>
      <c r="C650" s="56"/>
      <c r="D650" s="56"/>
      <c r="E650" s="56"/>
      <c r="F650" s="57"/>
      <c r="G650" s="57"/>
      <c r="H650" s="57"/>
      <c r="I650" s="56"/>
      <c r="J650" s="56"/>
      <c r="K650" s="56"/>
      <c r="L650" s="56"/>
      <c r="M650" s="56"/>
      <c r="N650" s="56"/>
      <c r="O650" s="57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</row>
    <row r="651" spans="1:39" x14ac:dyDescent="0.4">
      <c r="A651" s="56"/>
      <c r="B651" s="59"/>
      <c r="C651" s="56"/>
      <c r="D651" s="56"/>
      <c r="E651" s="56"/>
      <c r="F651" s="57"/>
      <c r="G651" s="57"/>
      <c r="H651" s="57"/>
      <c r="I651" s="56"/>
      <c r="J651" s="56"/>
      <c r="K651" s="56"/>
      <c r="L651" s="56"/>
      <c r="M651" s="56"/>
      <c r="N651" s="56"/>
      <c r="O651" s="57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</row>
    <row r="652" spans="1:39" x14ac:dyDescent="0.4">
      <c r="A652" s="56"/>
      <c r="B652" s="59"/>
      <c r="C652" s="56"/>
      <c r="D652" s="56"/>
      <c r="E652" s="56"/>
      <c r="F652" s="57"/>
      <c r="G652" s="57"/>
      <c r="H652" s="57"/>
      <c r="I652" s="56"/>
      <c r="J652" s="56"/>
      <c r="K652" s="56"/>
      <c r="L652" s="56"/>
      <c r="M652" s="56"/>
      <c r="N652" s="56"/>
      <c r="O652" s="57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</row>
    <row r="653" spans="1:39" x14ac:dyDescent="0.4">
      <c r="A653" s="56"/>
      <c r="B653" s="59"/>
      <c r="C653" s="56"/>
      <c r="D653" s="56"/>
      <c r="E653" s="56"/>
      <c r="F653" s="57"/>
      <c r="G653" s="57"/>
      <c r="H653" s="57"/>
      <c r="I653" s="56"/>
      <c r="J653" s="56"/>
      <c r="K653" s="56"/>
      <c r="L653" s="56"/>
      <c r="M653" s="56"/>
      <c r="N653" s="56"/>
      <c r="O653" s="57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</row>
    <row r="654" spans="1:39" x14ac:dyDescent="0.4">
      <c r="A654" s="56"/>
      <c r="B654" s="59"/>
      <c r="C654" s="56"/>
      <c r="D654" s="56"/>
      <c r="E654" s="56"/>
      <c r="F654" s="57"/>
      <c r="G654" s="57"/>
      <c r="H654" s="57"/>
      <c r="I654" s="56"/>
      <c r="J654" s="56"/>
      <c r="K654" s="56"/>
      <c r="L654" s="56"/>
      <c r="M654" s="56"/>
      <c r="N654" s="56"/>
      <c r="O654" s="57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</row>
    <row r="655" spans="1:39" x14ac:dyDescent="0.4">
      <c r="A655" s="56"/>
      <c r="B655" s="59"/>
      <c r="C655" s="56"/>
      <c r="D655" s="56"/>
      <c r="E655" s="56"/>
      <c r="F655" s="57"/>
      <c r="G655" s="57"/>
      <c r="H655" s="57"/>
      <c r="I655" s="56"/>
      <c r="J655" s="56"/>
      <c r="K655" s="56"/>
      <c r="L655" s="56"/>
      <c r="M655" s="56"/>
      <c r="N655" s="56"/>
      <c r="O655" s="57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</row>
    <row r="656" spans="1:39" x14ac:dyDescent="0.4">
      <c r="A656" s="56"/>
      <c r="B656" s="59"/>
      <c r="C656" s="56"/>
      <c r="D656" s="56"/>
      <c r="E656" s="56"/>
      <c r="F656" s="57"/>
      <c r="G656" s="57"/>
      <c r="H656" s="57"/>
      <c r="I656" s="56"/>
      <c r="J656" s="56"/>
      <c r="K656" s="56"/>
      <c r="L656" s="56"/>
      <c r="M656" s="56"/>
      <c r="N656" s="56"/>
      <c r="O656" s="57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</row>
    <row r="657" spans="1:39" x14ac:dyDescent="0.4">
      <c r="A657" s="56"/>
      <c r="B657" s="59"/>
      <c r="C657" s="56"/>
      <c r="D657" s="56"/>
      <c r="E657" s="56"/>
      <c r="F657" s="57"/>
      <c r="G657" s="57"/>
      <c r="H657" s="57"/>
      <c r="I657" s="56"/>
      <c r="J657" s="56"/>
      <c r="K657" s="56"/>
      <c r="L657" s="56"/>
      <c r="M657" s="56"/>
      <c r="N657" s="56"/>
      <c r="O657" s="57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</row>
    <row r="658" spans="1:39" x14ac:dyDescent="0.4">
      <c r="A658" s="56"/>
      <c r="B658" s="59"/>
      <c r="C658" s="56"/>
      <c r="D658" s="56"/>
      <c r="E658" s="56"/>
      <c r="F658" s="57"/>
      <c r="G658" s="57"/>
      <c r="H658" s="57"/>
      <c r="I658" s="56"/>
      <c r="J658" s="56"/>
      <c r="K658" s="56"/>
      <c r="L658" s="56"/>
      <c r="M658" s="56"/>
      <c r="N658" s="56"/>
      <c r="O658" s="57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</row>
    <row r="659" spans="1:39" x14ac:dyDescent="0.4">
      <c r="A659" s="56"/>
      <c r="B659" s="59"/>
      <c r="C659" s="56"/>
      <c r="D659" s="56"/>
      <c r="E659" s="56"/>
      <c r="F659" s="57"/>
      <c r="G659" s="57"/>
      <c r="H659" s="57"/>
      <c r="I659" s="56"/>
      <c r="J659" s="56"/>
      <c r="K659" s="56"/>
      <c r="L659" s="56"/>
      <c r="M659" s="56"/>
      <c r="N659" s="56"/>
      <c r="O659" s="57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</row>
    <row r="660" spans="1:39" x14ac:dyDescent="0.4">
      <c r="A660" s="56"/>
      <c r="B660" s="59"/>
      <c r="C660" s="56"/>
      <c r="D660" s="56"/>
      <c r="E660" s="56"/>
      <c r="F660" s="57"/>
      <c r="G660" s="57"/>
      <c r="H660" s="57"/>
      <c r="I660" s="56"/>
      <c r="J660" s="56"/>
      <c r="K660" s="56"/>
      <c r="L660" s="56"/>
      <c r="M660" s="56"/>
      <c r="N660" s="56"/>
      <c r="O660" s="57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</row>
    <row r="661" spans="1:39" x14ac:dyDescent="0.4">
      <c r="A661" s="56"/>
      <c r="B661" s="59"/>
      <c r="C661" s="56"/>
      <c r="D661" s="56"/>
      <c r="E661" s="56"/>
      <c r="F661" s="57"/>
      <c r="G661" s="57"/>
      <c r="H661" s="57"/>
      <c r="I661" s="56"/>
      <c r="J661" s="56"/>
      <c r="K661" s="56"/>
      <c r="L661" s="56"/>
      <c r="M661" s="56"/>
      <c r="N661" s="56"/>
      <c r="O661" s="57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</row>
    <row r="662" spans="1:39" x14ac:dyDescent="0.4">
      <c r="A662" s="56"/>
      <c r="B662" s="59"/>
      <c r="C662" s="56"/>
      <c r="D662" s="56"/>
      <c r="E662" s="56"/>
      <c r="F662" s="57"/>
      <c r="G662" s="57"/>
      <c r="H662" s="57"/>
      <c r="I662" s="56"/>
      <c r="J662" s="56"/>
      <c r="K662" s="56"/>
      <c r="L662" s="56"/>
      <c r="M662" s="56"/>
      <c r="N662" s="56"/>
      <c r="O662" s="57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</row>
    <row r="663" spans="1:39" x14ac:dyDescent="0.4">
      <c r="A663" s="56"/>
      <c r="B663" s="59"/>
      <c r="C663" s="56"/>
      <c r="D663" s="56"/>
      <c r="E663" s="56"/>
      <c r="F663" s="57"/>
      <c r="G663" s="57"/>
      <c r="H663" s="57"/>
      <c r="I663" s="56"/>
      <c r="J663" s="56"/>
      <c r="K663" s="56"/>
      <c r="L663" s="56"/>
      <c r="M663" s="56"/>
      <c r="N663" s="56"/>
      <c r="O663" s="57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</row>
    <row r="664" spans="1:39" x14ac:dyDescent="0.4">
      <c r="A664" s="56"/>
      <c r="B664" s="59"/>
      <c r="C664" s="56"/>
      <c r="D664" s="56"/>
      <c r="E664" s="56"/>
      <c r="F664" s="57"/>
      <c r="G664" s="57"/>
      <c r="H664" s="57"/>
      <c r="I664" s="56"/>
      <c r="J664" s="56"/>
      <c r="K664" s="56"/>
      <c r="L664" s="56"/>
      <c r="M664" s="56"/>
      <c r="N664" s="56"/>
      <c r="O664" s="57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</row>
    <row r="665" spans="1:39" x14ac:dyDescent="0.4">
      <c r="A665" s="56"/>
      <c r="B665" s="59"/>
      <c r="C665" s="56"/>
      <c r="D665" s="56"/>
      <c r="E665" s="56"/>
      <c r="F665" s="57"/>
      <c r="G665" s="57"/>
      <c r="H665" s="57"/>
      <c r="I665" s="56"/>
      <c r="J665" s="56"/>
      <c r="K665" s="56"/>
      <c r="L665" s="56"/>
      <c r="M665" s="56"/>
      <c r="N665" s="56"/>
      <c r="O665" s="57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</row>
    <row r="666" spans="1:39" x14ac:dyDescent="0.4">
      <c r="A666" s="56"/>
      <c r="B666" s="59"/>
      <c r="C666" s="56"/>
      <c r="D666" s="56"/>
      <c r="E666" s="56"/>
      <c r="F666" s="57"/>
      <c r="G666" s="57"/>
      <c r="H666" s="57"/>
      <c r="I666" s="56"/>
      <c r="J666" s="56"/>
      <c r="K666" s="56"/>
      <c r="L666" s="56"/>
      <c r="M666" s="56"/>
      <c r="N666" s="56"/>
      <c r="O666" s="57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</row>
    <row r="667" spans="1:39" x14ac:dyDescent="0.4">
      <c r="A667" s="56"/>
      <c r="B667" s="59"/>
      <c r="C667" s="56"/>
      <c r="D667" s="56"/>
      <c r="E667" s="56"/>
      <c r="F667" s="57"/>
      <c r="G667" s="57"/>
      <c r="H667" s="57"/>
      <c r="I667" s="56"/>
      <c r="J667" s="56"/>
      <c r="K667" s="56"/>
      <c r="L667" s="56"/>
      <c r="M667" s="56"/>
      <c r="N667" s="56"/>
      <c r="O667" s="57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</row>
    <row r="668" spans="1:39" x14ac:dyDescent="0.4">
      <c r="A668" s="56"/>
      <c r="B668" s="59"/>
      <c r="C668" s="56"/>
      <c r="D668" s="56"/>
      <c r="E668" s="56"/>
      <c r="F668" s="57"/>
      <c r="G668" s="57"/>
      <c r="H668" s="57"/>
      <c r="I668" s="56"/>
      <c r="J668" s="56"/>
      <c r="K668" s="56"/>
      <c r="L668" s="56"/>
      <c r="M668" s="56"/>
      <c r="N668" s="56"/>
      <c r="O668" s="57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</row>
    <row r="669" spans="1:39" x14ac:dyDescent="0.4">
      <c r="A669" s="56"/>
      <c r="B669" s="59"/>
      <c r="C669" s="56"/>
      <c r="D669" s="56"/>
      <c r="E669" s="56"/>
      <c r="F669" s="57"/>
      <c r="G669" s="57"/>
      <c r="H669" s="57"/>
      <c r="I669" s="56"/>
      <c r="J669" s="56"/>
      <c r="K669" s="56"/>
      <c r="L669" s="56"/>
      <c r="M669" s="56"/>
      <c r="N669" s="56"/>
      <c r="O669" s="57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</row>
    <row r="670" spans="1:39" x14ac:dyDescent="0.4">
      <c r="A670" s="56"/>
      <c r="B670" s="59"/>
      <c r="C670" s="56"/>
      <c r="D670" s="56"/>
      <c r="E670" s="56"/>
      <c r="F670" s="57"/>
      <c r="G670" s="57"/>
      <c r="H670" s="57"/>
      <c r="I670" s="56"/>
      <c r="J670" s="56"/>
      <c r="K670" s="56"/>
      <c r="L670" s="56"/>
      <c r="M670" s="56"/>
      <c r="N670" s="56"/>
      <c r="O670" s="57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</row>
    <row r="671" spans="1:39" x14ac:dyDescent="0.4">
      <c r="A671" s="56"/>
      <c r="B671" s="59"/>
      <c r="C671" s="56"/>
      <c r="D671" s="56"/>
      <c r="E671" s="56"/>
      <c r="F671" s="57"/>
      <c r="G671" s="57"/>
      <c r="H671" s="57"/>
      <c r="I671" s="56"/>
      <c r="J671" s="56"/>
      <c r="K671" s="56"/>
      <c r="L671" s="56"/>
      <c r="M671" s="56"/>
      <c r="N671" s="56"/>
      <c r="O671" s="57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</row>
    <row r="672" spans="1:39" x14ac:dyDescent="0.4">
      <c r="A672" s="56"/>
      <c r="B672" s="59"/>
      <c r="C672" s="56"/>
      <c r="D672" s="56"/>
      <c r="E672" s="56"/>
      <c r="F672" s="57"/>
      <c r="G672" s="57"/>
      <c r="H672" s="57"/>
      <c r="I672" s="56"/>
      <c r="J672" s="56"/>
      <c r="K672" s="56"/>
      <c r="L672" s="56"/>
      <c r="M672" s="56"/>
      <c r="N672" s="56"/>
      <c r="O672" s="57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</row>
    <row r="673" spans="1:39" x14ac:dyDescent="0.4">
      <c r="A673" s="56"/>
      <c r="B673" s="59"/>
      <c r="C673" s="56"/>
      <c r="D673" s="56"/>
      <c r="E673" s="56"/>
      <c r="F673" s="57"/>
      <c r="G673" s="57"/>
      <c r="H673" s="57"/>
      <c r="I673" s="56"/>
      <c r="J673" s="56"/>
      <c r="K673" s="56"/>
      <c r="L673" s="56"/>
      <c r="M673" s="56"/>
      <c r="N673" s="56"/>
      <c r="O673" s="57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</row>
    <row r="674" spans="1:39" x14ac:dyDescent="0.4">
      <c r="A674" s="56"/>
      <c r="B674" s="59"/>
      <c r="C674" s="56"/>
      <c r="D674" s="56"/>
      <c r="E674" s="56"/>
      <c r="F674" s="57"/>
      <c r="G674" s="57"/>
      <c r="H674" s="57"/>
      <c r="I674" s="56"/>
      <c r="J674" s="56"/>
      <c r="K674" s="56"/>
      <c r="L674" s="56"/>
      <c r="M674" s="56"/>
      <c r="N674" s="56"/>
      <c r="O674" s="57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</row>
    <row r="675" spans="1:39" x14ac:dyDescent="0.4">
      <c r="A675" s="56"/>
      <c r="B675" s="59"/>
      <c r="C675" s="56"/>
      <c r="D675" s="56"/>
      <c r="E675" s="56"/>
      <c r="F675" s="57"/>
      <c r="G675" s="57"/>
      <c r="H675" s="57"/>
      <c r="I675" s="56"/>
      <c r="J675" s="56"/>
      <c r="K675" s="56"/>
      <c r="L675" s="56"/>
      <c r="M675" s="56"/>
      <c r="N675" s="56"/>
      <c r="O675" s="57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</row>
    <row r="676" spans="1:39" x14ac:dyDescent="0.4">
      <c r="A676" s="56"/>
      <c r="B676" s="59"/>
      <c r="C676" s="56"/>
      <c r="D676" s="56"/>
      <c r="E676" s="56"/>
      <c r="F676" s="57"/>
      <c r="G676" s="57"/>
      <c r="H676" s="57"/>
      <c r="I676" s="56"/>
      <c r="J676" s="56"/>
      <c r="K676" s="56"/>
      <c r="L676" s="56"/>
      <c r="M676" s="56"/>
      <c r="N676" s="56"/>
      <c r="O676" s="57"/>
      <c r="P676" s="56"/>
      <c r="Q676" s="56"/>
      <c r="R676" s="56"/>
      <c r="S676" s="56"/>
      <c r="T676" s="56"/>
      <c r="U676" s="56"/>
      <c r="V676" s="56"/>
      <c r="W676" s="56"/>
      <c r="X676" s="56"/>
      <c r="Y676" s="57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</row>
    <row r="677" spans="1:39" x14ac:dyDescent="0.4">
      <c r="A677" s="56"/>
      <c r="B677" s="59"/>
      <c r="C677" s="56"/>
      <c r="D677" s="56"/>
      <c r="E677" s="56"/>
      <c r="F677" s="57"/>
      <c r="G677" s="57"/>
      <c r="H677" s="57"/>
      <c r="I677" s="56"/>
      <c r="J677" s="56"/>
      <c r="K677" s="56"/>
      <c r="L677" s="56"/>
      <c r="M677" s="56"/>
      <c r="N677" s="56"/>
      <c r="O677" s="57"/>
      <c r="P677" s="56"/>
      <c r="Q677" s="56"/>
      <c r="R677" s="56"/>
      <c r="S677" s="56"/>
      <c r="T677" s="56"/>
      <c r="U677" s="56"/>
      <c r="V677" s="56"/>
      <c r="W677" s="56"/>
      <c r="X677" s="56"/>
      <c r="Y677" s="57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</row>
    <row r="678" spans="1:39" x14ac:dyDescent="0.4">
      <c r="A678" s="56"/>
      <c r="B678" s="59"/>
      <c r="C678" s="56"/>
      <c r="D678" s="56"/>
      <c r="E678" s="56"/>
      <c r="F678" s="57"/>
      <c r="G678" s="57"/>
      <c r="H678" s="57"/>
      <c r="I678" s="56"/>
      <c r="J678" s="56"/>
      <c r="K678" s="56"/>
      <c r="L678" s="56"/>
      <c r="M678" s="56"/>
      <c r="N678" s="56"/>
      <c r="O678" s="57"/>
      <c r="P678" s="56"/>
      <c r="Q678" s="56"/>
      <c r="R678" s="56"/>
      <c r="S678" s="56"/>
      <c r="T678" s="56"/>
      <c r="U678" s="56"/>
      <c r="V678" s="56"/>
      <c r="W678" s="56"/>
      <c r="X678" s="56"/>
      <c r="Y678" s="57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</row>
    <row r="679" spans="1:39" x14ac:dyDescent="0.4">
      <c r="A679" s="56"/>
      <c r="B679" s="59"/>
      <c r="C679" s="56"/>
      <c r="D679" s="56"/>
      <c r="E679" s="56"/>
      <c r="F679" s="57"/>
      <c r="G679" s="57"/>
      <c r="H679" s="57"/>
      <c r="I679" s="56"/>
      <c r="J679" s="56"/>
      <c r="K679" s="56"/>
      <c r="L679" s="56"/>
      <c r="M679" s="56"/>
      <c r="N679" s="56"/>
      <c r="O679" s="57"/>
      <c r="P679" s="56"/>
      <c r="Q679" s="56"/>
      <c r="R679" s="56"/>
      <c r="S679" s="56"/>
      <c r="T679" s="56"/>
      <c r="U679" s="56"/>
      <c r="V679" s="56"/>
      <c r="W679" s="56"/>
      <c r="X679" s="56"/>
      <c r="Y679" s="57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</row>
    <row r="680" spans="1:39" x14ac:dyDescent="0.4">
      <c r="A680" s="56"/>
      <c r="B680" s="59"/>
      <c r="C680" s="56"/>
      <c r="D680" s="56"/>
      <c r="E680" s="56"/>
      <c r="F680" s="57"/>
      <c r="G680" s="57"/>
      <c r="H680" s="57"/>
      <c r="I680" s="56"/>
      <c r="J680" s="56"/>
      <c r="K680" s="56"/>
      <c r="L680" s="56"/>
      <c r="M680" s="56"/>
      <c r="N680" s="56"/>
      <c r="O680" s="57"/>
      <c r="P680" s="56"/>
      <c r="Q680" s="56"/>
      <c r="R680" s="56"/>
      <c r="S680" s="56"/>
      <c r="T680" s="56"/>
      <c r="U680" s="56"/>
      <c r="V680" s="56"/>
      <c r="W680" s="56"/>
      <c r="X680" s="56"/>
      <c r="Y680" s="57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</row>
    <row r="681" spans="1:39" x14ac:dyDescent="0.4">
      <c r="A681" s="56"/>
      <c r="B681" s="59"/>
      <c r="C681" s="56"/>
      <c r="D681" s="56"/>
      <c r="E681" s="56"/>
      <c r="F681" s="57"/>
      <c r="G681" s="57"/>
      <c r="H681" s="57"/>
      <c r="I681" s="56"/>
      <c r="J681" s="56"/>
      <c r="K681" s="56"/>
      <c r="L681" s="56"/>
      <c r="M681" s="56"/>
      <c r="N681" s="56"/>
      <c r="O681" s="57"/>
      <c r="P681" s="56"/>
      <c r="Q681" s="56"/>
      <c r="R681" s="56"/>
      <c r="S681" s="56"/>
      <c r="T681" s="56"/>
      <c r="U681" s="56"/>
      <c r="V681" s="56"/>
      <c r="W681" s="56"/>
      <c r="X681" s="56"/>
      <c r="Y681" s="57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</row>
    <row r="682" spans="1:39" x14ac:dyDescent="0.4">
      <c r="A682" s="56"/>
      <c r="B682" s="59"/>
      <c r="C682" s="56"/>
      <c r="D682" s="56"/>
      <c r="E682" s="56"/>
      <c r="F682" s="57"/>
      <c r="G682" s="57"/>
      <c r="H682" s="57"/>
      <c r="I682" s="56"/>
      <c r="J682" s="56"/>
      <c r="K682" s="56"/>
      <c r="L682" s="56"/>
      <c r="M682" s="56"/>
      <c r="N682" s="56"/>
      <c r="O682" s="57"/>
      <c r="P682" s="56"/>
      <c r="Q682" s="56"/>
      <c r="R682" s="56"/>
      <c r="S682" s="56"/>
      <c r="T682" s="56"/>
      <c r="U682" s="56"/>
      <c r="V682" s="56"/>
      <c r="W682" s="56"/>
      <c r="X682" s="56"/>
      <c r="Y682" s="57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</row>
    <row r="683" spans="1:39" x14ac:dyDescent="0.4">
      <c r="A683" s="56"/>
      <c r="B683" s="59"/>
      <c r="C683" s="56"/>
      <c r="D683" s="56"/>
      <c r="E683" s="56"/>
      <c r="F683" s="57"/>
      <c r="G683" s="57"/>
      <c r="H683" s="57"/>
      <c r="I683" s="56"/>
      <c r="J683" s="56"/>
      <c r="K683" s="56"/>
      <c r="L683" s="56"/>
      <c r="M683" s="56"/>
      <c r="N683" s="56"/>
      <c r="O683" s="57"/>
      <c r="P683" s="56"/>
      <c r="Q683" s="56"/>
      <c r="R683" s="56"/>
      <c r="S683" s="56"/>
      <c r="T683" s="56"/>
      <c r="U683" s="56"/>
      <c r="V683" s="56"/>
      <c r="W683" s="56"/>
      <c r="X683" s="56"/>
      <c r="Y683" s="57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</row>
    <row r="684" spans="1:39" x14ac:dyDescent="0.4">
      <c r="A684" s="56"/>
      <c r="B684" s="59"/>
      <c r="C684" s="56"/>
      <c r="D684" s="56"/>
      <c r="E684" s="56"/>
      <c r="F684" s="57"/>
      <c r="G684" s="57"/>
      <c r="H684" s="57"/>
      <c r="I684" s="56"/>
      <c r="J684" s="56"/>
      <c r="K684" s="56"/>
      <c r="L684" s="56"/>
      <c r="M684" s="56"/>
      <c r="N684" s="56"/>
      <c r="O684" s="57"/>
      <c r="P684" s="56"/>
      <c r="Q684" s="56"/>
      <c r="R684" s="56"/>
      <c r="S684" s="56"/>
      <c r="T684" s="56"/>
      <c r="U684" s="56"/>
      <c r="V684" s="56"/>
      <c r="W684" s="56"/>
      <c r="X684" s="56"/>
      <c r="Y684" s="57"/>
      <c r="Z684" s="56"/>
      <c r="AA684" s="56"/>
      <c r="AB684" s="56"/>
      <c r="AC684" s="56"/>
      <c r="AD684" s="56"/>
      <c r="AE684" s="58"/>
      <c r="AF684" s="56"/>
      <c r="AG684" s="56"/>
      <c r="AH684" s="56"/>
      <c r="AI684" s="56"/>
      <c r="AJ684" s="56"/>
      <c r="AK684" s="56"/>
      <c r="AL684" s="56"/>
      <c r="AM684" s="58"/>
    </row>
    <row r="685" spans="1:39" x14ac:dyDescent="0.4">
      <c r="A685" s="56"/>
      <c r="B685" s="59"/>
      <c r="C685" s="56"/>
      <c r="D685" s="56"/>
      <c r="E685" s="56"/>
      <c r="F685" s="57"/>
      <c r="G685" s="57"/>
      <c r="H685" s="57"/>
      <c r="I685" s="56"/>
      <c r="J685" s="56"/>
      <c r="K685" s="56"/>
      <c r="L685" s="56"/>
      <c r="M685" s="56"/>
      <c r="N685" s="56"/>
      <c r="O685" s="57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</row>
    <row r="686" spans="1:39" x14ac:dyDescent="0.4">
      <c r="A686" s="56"/>
      <c r="B686" s="59"/>
      <c r="C686" s="56"/>
      <c r="D686" s="56"/>
      <c r="E686" s="56"/>
      <c r="F686" s="57"/>
      <c r="G686" s="57"/>
      <c r="H686" s="57"/>
      <c r="I686" s="56"/>
      <c r="J686" s="56"/>
      <c r="K686" s="56"/>
      <c r="L686" s="56"/>
      <c r="M686" s="56"/>
      <c r="N686" s="56"/>
      <c r="O686" s="57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</row>
    <row r="687" spans="1:39" x14ac:dyDescent="0.4">
      <c r="A687" s="56"/>
      <c r="B687" s="59"/>
      <c r="C687" s="56"/>
      <c r="D687" s="56"/>
      <c r="E687" s="56"/>
      <c r="F687" s="57"/>
      <c r="G687" s="57"/>
      <c r="H687" s="57"/>
      <c r="I687" s="56"/>
      <c r="J687" s="56"/>
      <c r="K687" s="56"/>
      <c r="L687" s="56"/>
      <c r="M687" s="56"/>
      <c r="N687" s="56"/>
      <c r="O687" s="57"/>
      <c r="P687" s="56"/>
      <c r="Q687" s="56"/>
      <c r="R687" s="56"/>
      <c r="S687" s="56"/>
      <c r="T687" s="56"/>
      <c r="U687" s="56"/>
      <c r="V687" s="56"/>
      <c r="W687" s="56"/>
      <c r="X687" s="56"/>
      <c r="Y687" s="57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</row>
    <row r="688" spans="1:39" x14ac:dyDescent="0.4">
      <c r="A688" s="56"/>
      <c r="B688" s="59"/>
      <c r="C688" s="56"/>
      <c r="D688" s="56"/>
      <c r="E688" s="56"/>
      <c r="F688" s="57"/>
      <c r="G688" s="57"/>
      <c r="H688" s="57"/>
      <c r="I688" s="56"/>
      <c r="J688" s="56"/>
      <c r="K688" s="56"/>
      <c r="L688" s="56"/>
      <c r="M688" s="56"/>
      <c r="N688" s="56"/>
      <c r="O688" s="57"/>
      <c r="P688" s="56"/>
      <c r="Q688" s="56"/>
      <c r="R688" s="56"/>
      <c r="S688" s="56"/>
      <c r="T688" s="56"/>
      <c r="U688" s="56"/>
      <c r="V688" s="56"/>
      <c r="W688" s="56"/>
      <c r="X688" s="56"/>
      <c r="Y688" s="57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</row>
    <row r="689" spans="1:39" x14ac:dyDescent="0.4">
      <c r="A689" s="56"/>
      <c r="B689" s="59"/>
      <c r="C689" s="56"/>
      <c r="D689" s="56"/>
      <c r="E689" s="56"/>
      <c r="F689" s="57"/>
      <c r="G689" s="57"/>
      <c r="H689" s="57"/>
      <c r="I689" s="56"/>
      <c r="J689" s="56"/>
      <c r="K689" s="56"/>
      <c r="L689" s="56"/>
      <c r="M689" s="56"/>
      <c r="N689" s="56"/>
      <c r="O689" s="57"/>
      <c r="P689" s="56"/>
      <c r="Q689" s="56"/>
      <c r="R689" s="56"/>
      <c r="S689" s="56"/>
      <c r="T689" s="56"/>
      <c r="U689" s="56"/>
      <c r="V689" s="56"/>
      <c r="W689" s="56"/>
      <c r="X689" s="56"/>
      <c r="Y689" s="57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</row>
    <row r="690" spans="1:39" x14ac:dyDescent="0.4">
      <c r="A690" s="56"/>
      <c r="B690" s="59"/>
      <c r="C690" s="56"/>
      <c r="D690" s="56"/>
      <c r="E690" s="56"/>
      <c r="F690" s="57"/>
      <c r="G690" s="57"/>
      <c r="H690" s="57"/>
      <c r="I690" s="56"/>
      <c r="J690" s="56"/>
      <c r="K690" s="56"/>
      <c r="L690" s="56"/>
      <c r="M690" s="56"/>
      <c r="N690" s="56"/>
      <c r="O690" s="57"/>
      <c r="P690" s="56"/>
      <c r="Q690" s="56"/>
      <c r="R690" s="56"/>
      <c r="S690" s="56"/>
      <c r="T690" s="56"/>
      <c r="U690" s="56"/>
      <c r="V690" s="56"/>
      <c r="W690" s="56"/>
      <c r="X690" s="56"/>
      <c r="Y690" s="57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</row>
    <row r="691" spans="1:39" x14ac:dyDescent="0.4">
      <c r="A691" s="56"/>
      <c r="B691" s="59"/>
      <c r="C691" s="56"/>
      <c r="D691" s="56"/>
      <c r="E691" s="56"/>
      <c r="F691" s="57"/>
      <c r="G691" s="57"/>
      <c r="H691" s="57"/>
      <c r="I691" s="56"/>
      <c r="J691" s="56"/>
      <c r="K691" s="56"/>
      <c r="L691" s="56"/>
      <c r="M691" s="56"/>
      <c r="N691" s="56"/>
      <c r="O691" s="57"/>
      <c r="P691" s="56"/>
      <c r="Q691" s="56"/>
      <c r="R691" s="56"/>
      <c r="S691" s="56"/>
      <c r="T691" s="56"/>
      <c r="U691" s="56"/>
      <c r="V691" s="56"/>
      <c r="W691" s="56"/>
      <c r="X691" s="56"/>
      <c r="Y691" s="57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</row>
    <row r="692" spans="1:39" x14ac:dyDescent="0.4">
      <c r="A692" s="56"/>
      <c r="B692" s="59"/>
      <c r="C692" s="56"/>
      <c r="D692" s="56"/>
      <c r="E692" s="56"/>
      <c r="F692" s="57"/>
      <c r="G692" s="57"/>
      <c r="H692" s="57"/>
      <c r="I692" s="56"/>
      <c r="J692" s="56"/>
      <c r="K692" s="56"/>
      <c r="L692" s="56"/>
      <c r="M692" s="56"/>
      <c r="N692" s="56"/>
      <c r="O692" s="57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</row>
    <row r="693" spans="1:39" x14ac:dyDescent="0.4">
      <c r="A693" s="56"/>
      <c r="B693" s="59"/>
      <c r="C693" s="56"/>
      <c r="D693" s="56"/>
      <c r="E693" s="56"/>
      <c r="F693" s="57"/>
      <c r="G693" s="57"/>
      <c r="H693" s="57"/>
      <c r="I693" s="56"/>
      <c r="J693" s="56"/>
      <c r="K693" s="56"/>
      <c r="L693" s="56"/>
      <c r="M693" s="56"/>
      <c r="N693" s="56"/>
      <c r="O693" s="57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</row>
    <row r="694" spans="1:39" x14ac:dyDescent="0.4">
      <c r="A694" s="56"/>
      <c r="B694" s="59"/>
      <c r="C694" s="56"/>
      <c r="D694" s="56"/>
      <c r="E694" s="56"/>
      <c r="F694" s="57"/>
      <c r="G694" s="57"/>
      <c r="H694" s="57"/>
      <c r="I694" s="56"/>
      <c r="J694" s="56"/>
      <c r="K694" s="56"/>
      <c r="L694" s="56"/>
      <c r="M694" s="56"/>
      <c r="N694" s="56"/>
      <c r="O694" s="57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</row>
    <row r="695" spans="1:39" x14ac:dyDescent="0.4">
      <c r="A695" s="56"/>
      <c r="B695" s="59"/>
      <c r="C695" s="56"/>
      <c r="D695" s="56"/>
      <c r="E695" s="56"/>
      <c r="F695" s="57"/>
      <c r="G695" s="57"/>
      <c r="H695" s="57"/>
      <c r="I695" s="56"/>
      <c r="J695" s="56"/>
      <c r="K695" s="56"/>
      <c r="L695" s="56"/>
      <c r="M695" s="56"/>
      <c r="N695" s="56"/>
      <c r="O695" s="57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</row>
    <row r="696" spans="1:39" x14ac:dyDescent="0.4">
      <c r="A696" s="56"/>
      <c r="B696" s="59"/>
      <c r="C696" s="56"/>
      <c r="D696" s="56"/>
      <c r="E696" s="56"/>
      <c r="F696" s="57"/>
      <c r="G696" s="57"/>
      <c r="H696" s="57"/>
      <c r="I696" s="56"/>
      <c r="J696" s="56"/>
      <c r="K696" s="56"/>
      <c r="L696" s="56"/>
      <c r="M696" s="56"/>
      <c r="N696" s="56"/>
      <c r="O696" s="57"/>
      <c r="P696" s="56"/>
      <c r="Q696" s="56"/>
      <c r="R696" s="56"/>
      <c r="S696" s="56"/>
      <c r="T696" s="56"/>
      <c r="U696" s="56"/>
      <c r="V696" s="56"/>
      <c r="W696" s="56"/>
      <c r="X696" s="56"/>
      <c r="Y696" s="57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</row>
    <row r="697" spans="1:39" x14ac:dyDescent="0.4">
      <c r="A697" s="56"/>
      <c r="B697" s="59"/>
      <c r="C697" s="56"/>
      <c r="D697" s="56"/>
      <c r="E697" s="56"/>
      <c r="F697" s="57"/>
      <c r="G697" s="57"/>
      <c r="H697" s="57"/>
      <c r="I697" s="56"/>
      <c r="J697" s="56"/>
      <c r="K697" s="56"/>
      <c r="L697" s="56"/>
      <c r="M697" s="56"/>
      <c r="N697" s="56"/>
      <c r="O697" s="57"/>
      <c r="P697" s="56"/>
      <c r="Q697" s="56"/>
      <c r="R697" s="56"/>
      <c r="S697" s="56"/>
      <c r="T697" s="56"/>
      <c r="U697" s="56"/>
      <c r="V697" s="56"/>
      <c r="W697" s="56"/>
      <c r="X697" s="56"/>
      <c r="Y697" s="57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</row>
    <row r="698" spans="1:39" x14ac:dyDescent="0.4">
      <c r="A698" s="56"/>
      <c r="B698" s="59"/>
      <c r="C698" s="56"/>
      <c r="D698" s="56"/>
      <c r="E698" s="56"/>
      <c r="F698" s="57"/>
      <c r="G698" s="57"/>
      <c r="H698" s="57"/>
      <c r="I698" s="56"/>
      <c r="J698" s="56"/>
      <c r="K698" s="56"/>
      <c r="L698" s="56"/>
      <c r="M698" s="56"/>
      <c r="N698" s="56"/>
      <c r="O698" s="57"/>
      <c r="P698" s="56"/>
      <c r="Q698" s="56"/>
      <c r="R698" s="56"/>
      <c r="S698" s="56"/>
      <c r="T698" s="56"/>
      <c r="U698" s="56"/>
      <c r="V698" s="56"/>
      <c r="W698" s="56"/>
      <c r="X698" s="56"/>
      <c r="Y698" s="57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</row>
    <row r="699" spans="1:39" x14ac:dyDescent="0.4">
      <c r="A699" s="56"/>
      <c r="B699" s="59"/>
      <c r="C699" s="56"/>
      <c r="D699" s="56"/>
      <c r="E699" s="56"/>
      <c r="F699" s="57"/>
      <c r="G699" s="57"/>
      <c r="H699" s="57"/>
      <c r="I699" s="56"/>
      <c r="J699" s="56"/>
      <c r="K699" s="56"/>
      <c r="L699" s="56"/>
      <c r="M699" s="56"/>
      <c r="N699" s="56"/>
      <c r="O699" s="57"/>
      <c r="P699" s="56"/>
      <c r="Q699" s="56"/>
      <c r="R699" s="56"/>
      <c r="S699" s="56"/>
      <c r="T699" s="56"/>
      <c r="U699" s="56"/>
      <c r="V699" s="56"/>
      <c r="W699" s="56"/>
      <c r="X699" s="56"/>
      <c r="Y699" s="57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</row>
    <row r="700" spans="1:39" x14ac:dyDescent="0.4">
      <c r="A700" s="56"/>
      <c r="B700" s="59"/>
      <c r="C700" s="56"/>
      <c r="D700" s="56"/>
      <c r="E700" s="56"/>
      <c r="F700" s="57"/>
      <c r="G700" s="57"/>
      <c r="H700" s="57"/>
      <c r="I700" s="56"/>
      <c r="J700" s="56"/>
      <c r="K700" s="56"/>
      <c r="L700" s="56"/>
      <c r="M700" s="56"/>
      <c r="N700" s="56"/>
      <c r="O700" s="57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</row>
    <row r="701" spans="1:39" x14ac:dyDescent="0.4">
      <c r="A701" s="56"/>
      <c r="B701" s="59"/>
      <c r="C701" s="56"/>
      <c r="D701" s="56"/>
      <c r="E701" s="56"/>
      <c r="F701" s="57"/>
      <c r="G701" s="57"/>
      <c r="H701" s="57"/>
      <c r="I701" s="56"/>
      <c r="J701" s="56"/>
      <c r="K701" s="56"/>
      <c r="L701" s="56"/>
      <c r="M701" s="56"/>
      <c r="N701" s="56"/>
      <c r="O701" s="57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</row>
    <row r="702" spans="1:39" x14ac:dyDescent="0.4">
      <c r="A702" s="56"/>
      <c r="B702" s="59"/>
      <c r="C702" s="56"/>
      <c r="D702" s="56"/>
      <c r="E702" s="56"/>
      <c r="F702" s="57"/>
      <c r="G702" s="57"/>
      <c r="H702" s="57"/>
      <c r="I702" s="56"/>
      <c r="J702" s="56"/>
      <c r="K702" s="56"/>
      <c r="L702" s="56"/>
      <c r="M702" s="56"/>
      <c r="N702" s="56"/>
      <c r="O702" s="57"/>
      <c r="P702" s="56"/>
      <c r="Q702" s="56"/>
      <c r="R702" s="56"/>
      <c r="S702" s="56"/>
      <c r="T702" s="56"/>
      <c r="U702" s="56"/>
      <c r="V702" s="56"/>
      <c r="W702" s="56"/>
      <c r="X702" s="56"/>
      <c r="Y702" s="57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</row>
    <row r="703" spans="1:39" x14ac:dyDescent="0.4">
      <c r="A703" s="56"/>
      <c r="B703" s="59"/>
      <c r="C703" s="56"/>
      <c r="D703" s="56"/>
      <c r="E703" s="56"/>
      <c r="F703" s="57"/>
      <c r="G703" s="57"/>
      <c r="H703" s="57"/>
      <c r="I703" s="56"/>
      <c r="J703" s="56"/>
      <c r="K703" s="56"/>
      <c r="L703" s="56"/>
      <c r="M703" s="56"/>
      <c r="N703" s="56"/>
      <c r="O703" s="57"/>
      <c r="P703" s="56"/>
      <c r="Q703" s="56"/>
      <c r="R703" s="56"/>
      <c r="S703" s="56"/>
      <c r="T703" s="56"/>
      <c r="U703" s="56"/>
      <c r="V703" s="56"/>
      <c r="W703" s="56"/>
      <c r="X703" s="56"/>
      <c r="Y703" s="57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</row>
    <row r="704" spans="1:39" x14ac:dyDescent="0.4">
      <c r="A704" s="56"/>
      <c r="B704" s="59"/>
      <c r="C704" s="56"/>
      <c r="D704" s="56"/>
      <c r="E704" s="56"/>
      <c r="F704" s="57"/>
      <c r="G704" s="57"/>
      <c r="H704" s="57"/>
      <c r="I704" s="56"/>
      <c r="J704" s="56"/>
      <c r="K704" s="56"/>
      <c r="L704" s="56"/>
      <c r="M704" s="56"/>
      <c r="N704" s="56"/>
      <c r="O704" s="57"/>
      <c r="P704" s="56"/>
      <c r="Q704" s="56"/>
      <c r="R704" s="56"/>
      <c r="S704" s="56"/>
      <c r="T704" s="56"/>
      <c r="U704" s="56"/>
      <c r="V704" s="56"/>
      <c r="W704" s="56"/>
      <c r="X704" s="56"/>
      <c r="Y704" s="57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</row>
    <row r="705" spans="1:39" x14ac:dyDescent="0.4">
      <c r="A705" s="56"/>
      <c r="B705" s="59"/>
      <c r="C705" s="56"/>
      <c r="D705" s="56"/>
      <c r="E705" s="56"/>
      <c r="F705" s="57"/>
      <c r="G705" s="57"/>
      <c r="H705" s="57"/>
      <c r="I705" s="56"/>
      <c r="J705" s="56"/>
      <c r="K705" s="56"/>
      <c r="L705" s="56"/>
      <c r="M705" s="56"/>
      <c r="N705" s="56"/>
      <c r="O705" s="57"/>
      <c r="P705" s="56"/>
      <c r="Q705" s="56"/>
      <c r="R705" s="56"/>
      <c r="S705" s="56"/>
      <c r="T705" s="56"/>
      <c r="U705" s="56"/>
      <c r="V705" s="56"/>
      <c r="W705" s="56"/>
      <c r="X705" s="56"/>
      <c r="Y705" s="57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</row>
    <row r="706" spans="1:39" x14ac:dyDescent="0.4">
      <c r="A706" s="56"/>
      <c r="B706" s="59"/>
      <c r="C706" s="56"/>
      <c r="D706" s="56"/>
      <c r="E706" s="56"/>
      <c r="F706" s="57"/>
      <c r="G706" s="57"/>
      <c r="H706" s="57"/>
      <c r="I706" s="56"/>
      <c r="J706" s="56"/>
      <c r="K706" s="56"/>
      <c r="L706" s="56"/>
      <c r="M706" s="56"/>
      <c r="N706" s="56"/>
      <c r="O706" s="57"/>
      <c r="P706" s="56"/>
      <c r="Q706" s="56"/>
      <c r="R706" s="56"/>
      <c r="S706" s="56"/>
      <c r="T706" s="56"/>
      <c r="U706" s="56"/>
      <c r="V706" s="56"/>
      <c r="W706" s="56"/>
      <c r="X706" s="56"/>
      <c r="Y706" s="57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</row>
    <row r="707" spans="1:39" x14ac:dyDescent="0.4">
      <c r="A707" s="56"/>
      <c r="B707" s="59"/>
      <c r="C707" s="56"/>
      <c r="D707" s="56"/>
      <c r="E707" s="56"/>
      <c r="F707" s="57"/>
      <c r="G707" s="57"/>
      <c r="H707" s="57"/>
      <c r="I707" s="56"/>
      <c r="J707" s="56"/>
      <c r="K707" s="56"/>
      <c r="L707" s="56"/>
      <c r="M707" s="56"/>
      <c r="N707" s="56"/>
      <c r="O707" s="57"/>
      <c r="P707" s="56"/>
      <c r="Q707" s="56"/>
      <c r="R707" s="56"/>
      <c r="S707" s="56"/>
      <c r="T707" s="56"/>
      <c r="U707" s="56"/>
      <c r="V707" s="56"/>
      <c r="W707" s="56"/>
      <c r="X707" s="56"/>
      <c r="Y707" s="57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</row>
    <row r="708" spans="1:39" x14ac:dyDescent="0.4">
      <c r="A708" s="56"/>
      <c r="B708" s="59"/>
      <c r="C708" s="56"/>
      <c r="D708" s="56"/>
      <c r="E708" s="56"/>
      <c r="F708" s="57"/>
      <c r="G708" s="57"/>
      <c r="H708" s="57"/>
      <c r="I708" s="56"/>
      <c r="J708" s="56"/>
      <c r="K708" s="56"/>
      <c r="L708" s="56"/>
      <c r="M708" s="56"/>
      <c r="N708" s="56"/>
      <c r="O708" s="57"/>
      <c r="P708" s="56"/>
      <c r="Q708" s="56"/>
      <c r="R708" s="56"/>
      <c r="S708" s="56"/>
      <c r="T708" s="56"/>
      <c r="U708" s="56"/>
      <c r="V708" s="56"/>
      <c r="W708" s="56"/>
      <c r="X708" s="56"/>
      <c r="Y708" s="57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</row>
    <row r="709" spans="1:39" x14ac:dyDescent="0.4">
      <c r="A709" s="56"/>
      <c r="B709" s="59"/>
      <c r="C709" s="56"/>
      <c r="D709" s="56"/>
      <c r="E709" s="56"/>
      <c r="F709" s="57"/>
      <c r="G709" s="57"/>
      <c r="H709" s="57"/>
      <c r="I709" s="56"/>
      <c r="J709" s="56"/>
      <c r="K709" s="56"/>
      <c r="L709" s="56"/>
      <c r="M709" s="56"/>
      <c r="N709" s="56"/>
      <c r="O709" s="57"/>
      <c r="P709" s="56"/>
      <c r="Q709" s="56"/>
      <c r="R709" s="56"/>
      <c r="S709" s="56"/>
      <c r="T709" s="56"/>
      <c r="U709" s="56"/>
      <c r="V709" s="56"/>
      <c r="W709" s="56"/>
      <c r="X709" s="56"/>
      <c r="Y709" s="57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</row>
    <row r="710" spans="1:39" x14ac:dyDescent="0.4">
      <c r="A710" s="56"/>
      <c r="B710" s="59"/>
      <c r="C710" s="56"/>
      <c r="D710" s="56"/>
      <c r="E710" s="56"/>
      <c r="F710" s="57"/>
      <c r="G710" s="57"/>
      <c r="H710" s="57"/>
      <c r="I710" s="56"/>
      <c r="J710" s="56"/>
      <c r="K710" s="56"/>
      <c r="L710" s="56"/>
      <c r="M710" s="56"/>
      <c r="N710" s="56"/>
      <c r="O710" s="57"/>
      <c r="P710" s="56"/>
      <c r="Q710" s="56"/>
      <c r="R710" s="56"/>
      <c r="S710" s="56"/>
      <c r="T710" s="56"/>
      <c r="U710" s="57"/>
      <c r="V710" s="56"/>
      <c r="W710" s="56"/>
      <c r="X710" s="56"/>
      <c r="Y710" s="57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</row>
    <row r="711" spans="1:39" x14ac:dyDescent="0.4">
      <c r="A711" s="56"/>
      <c r="B711" s="59"/>
      <c r="C711" s="56"/>
      <c r="D711" s="56"/>
      <c r="E711" s="56"/>
      <c r="F711" s="57"/>
      <c r="G711" s="57"/>
      <c r="H711" s="57"/>
      <c r="I711" s="56"/>
      <c r="J711" s="56"/>
      <c r="K711" s="56"/>
      <c r="L711" s="56"/>
      <c r="M711" s="56"/>
      <c r="N711" s="56"/>
      <c r="O711" s="57"/>
      <c r="P711" s="56"/>
      <c r="Q711" s="56"/>
      <c r="R711" s="56"/>
      <c r="S711" s="56"/>
      <c r="T711" s="56"/>
      <c r="U711" s="56"/>
      <c r="V711" s="56"/>
      <c r="W711" s="56"/>
      <c r="X711" s="56"/>
      <c r="Y711" s="57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</row>
    <row r="712" spans="1:39" x14ac:dyDescent="0.4">
      <c r="A712" s="56"/>
      <c r="B712" s="59"/>
      <c r="C712" s="56"/>
      <c r="D712" s="56"/>
      <c r="E712" s="56"/>
      <c r="F712" s="57"/>
      <c r="G712" s="57"/>
      <c r="H712" s="57"/>
      <c r="I712" s="56"/>
      <c r="J712" s="56"/>
      <c r="K712" s="56"/>
      <c r="L712" s="56"/>
      <c r="M712" s="56"/>
      <c r="N712" s="56"/>
      <c r="O712" s="57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</row>
    <row r="713" spans="1:39" x14ac:dyDescent="0.4">
      <c r="A713" s="56"/>
      <c r="B713" s="59"/>
      <c r="C713" s="56"/>
      <c r="D713" s="56"/>
      <c r="E713" s="56"/>
      <c r="F713" s="57"/>
      <c r="G713" s="57"/>
      <c r="H713" s="57"/>
      <c r="I713" s="56"/>
      <c r="J713" s="56"/>
      <c r="K713" s="56"/>
      <c r="L713" s="56"/>
      <c r="M713" s="56"/>
      <c r="N713" s="57"/>
      <c r="O713" s="57"/>
      <c r="P713" s="56"/>
      <c r="Q713" s="56"/>
      <c r="R713" s="56"/>
      <c r="S713" s="56"/>
      <c r="T713" s="56"/>
      <c r="U713" s="56"/>
      <c r="V713" s="56"/>
      <c r="W713" s="56"/>
      <c r="X713" s="56"/>
      <c r="Y713" s="57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</row>
    <row r="714" spans="1:39" x14ac:dyDescent="0.4">
      <c r="A714" s="56"/>
      <c r="B714" s="59"/>
      <c r="C714" s="56"/>
      <c r="D714" s="56"/>
      <c r="E714" s="56"/>
      <c r="F714" s="57"/>
      <c r="G714" s="57"/>
      <c r="H714" s="57"/>
      <c r="I714" s="56"/>
      <c r="J714" s="56"/>
      <c r="K714" s="56"/>
      <c r="L714" s="57"/>
      <c r="M714" s="56"/>
      <c r="N714" s="56"/>
      <c r="O714" s="57"/>
      <c r="P714" s="56"/>
      <c r="Q714" s="56"/>
      <c r="R714" s="56"/>
      <c r="S714" s="56"/>
      <c r="T714" s="56"/>
      <c r="U714" s="56"/>
      <c r="V714" s="56"/>
      <c r="W714" s="56"/>
      <c r="X714" s="56"/>
      <c r="Y714" s="57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</row>
    <row r="715" spans="1:39" x14ac:dyDescent="0.4">
      <c r="A715" s="56"/>
      <c r="B715" s="59"/>
      <c r="C715" s="56"/>
      <c r="D715" s="56"/>
      <c r="E715" s="56"/>
      <c r="F715" s="57"/>
      <c r="G715" s="57"/>
      <c r="H715" s="57"/>
      <c r="I715" s="56"/>
      <c r="J715" s="56"/>
      <c r="K715" s="56"/>
      <c r="L715" s="56"/>
      <c r="M715" s="56"/>
      <c r="N715" s="57"/>
      <c r="O715" s="57"/>
      <c r="P715" s="56"/>
      <c r="Q715" s="56"/>
      <c r="R715" s="56"/>
      <c r="S715" s="56"/>
      <c r="T715" s="56"/>
      <c r="U715" s="56"/>
      <c r="V715" s="56"/>
      <c r="W715" s="56"/>
      <c r="X715" s="56"/>
      <c r="Y715" s="57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</row>
    <row r="716" spans="1:39" x14ac:dyDescent="0.4">
      <c r="A716" s="56"/>
      <c r="B716" s="59"/>
      <c r="C716" s="56"/>
      <c r="D716" s="56"/>
      <c r="E716" s="56"/>
      <c r="F716" s="57"/>
      <c r="G716" s="57"/>
      <c r="H716" s="57"/>
      <c r="I716" s="56"/>
      <c r="J716" s="57"/>
      <c r="K716" s="56"/>
      <c r="L716" s="56"/>
      <c r="M716" s="56"/>
      <c r="N716" s="56"/>
      <c r="O716" s="57"/>
      <c r="P716" s="56"/>
      <c r="Q716" s="56"/>
      <c r="R716" s="56"/>
      <c r="S716" s="56"/>
      <c r="T716" s="56"/>
      <c r="U716" s="56"/>
      <c r="V716" s="56"/>
      <c r="W716" s="56"/>
      <c r="X716" s="56"/>
      <c r="Y716" s="57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</row>
    <row r="717" spans="1:39" x14ac:dyDescent="0.4">
      <c r="A717" s="56"/>
      <c r="B717" s="59"/>
      <c r="C717" s="56"/>
      <c r="D717" s="56"/>
      <c r="E717" s="56"/>
      <c r="F717" s="57"/>
      <c r="G717" s="57"/>
      <c r="H717" s="57"/>
      <c r="I717" s="56"/>
      <c r="J717" s="56"/>
      <c r="K717" s="56"/>
      <c r="L717" s="57"/>
      <c r="M717" s="56"/>
      <c r="N717" s="56"/>
      <c r="O717" s="57"/>
      <c r="P717" s="56"/>
      <c r="Q717" s="56"/>
      <c r="R717" s="56"/>
      <c r="S717" s="56"/>
      <c r="T717" s="56"/>
      <c r="U717" s="56"/>
      <c r="V717" s="56"/>
      <c r="W717" s="56"/>
      <c r="X717" s="56"/>
      <c r="Y717" s="57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</row>
    <row r="718" spans="1:39" x14ac:dyDescent="0.4">
      <c r="A718" s="56"/>
      <c r="B718" s="59"/>
      <c r="C718" s="56"/>
      <c r="D718" s="56"/>
      <c r="E718" s="56"/>
      <c r="F718" s="57"/>
      <c r="G718" s="57"/>
      <c r="H718" s="57"/>
      <c r="I718" s="56"/>
      <c r="J718" s="56"/>
      <c r="K718" s="56"/>
      <c r="L718" s="56"/>
      <c r="M718" s="56"/>
      <c r="N718" s="56"/>
      <c r="O718" s="57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</row>
    <row r="719" spans="1:39" x14ac:dyDescent="0.4">
      <c r="A719" s="56"/>
      <c r="B719" s="59"/>
      <c r="C719" s="56"/>
      <c r="D719" s="56"/>
      <c r="E719" s="56"/>
      <c r="F719" s="57"/>
      <c r="G719" s="57"/>
      <c r="H719" s="57"/>
      <c r="I719" s="56"/>
      <c r="J719" s="56"/>
      <c r="K719" s="56"/>
      <c r="L719" s="56"/>
      <c r="M719" s="56"/>
      <c r="N719" s="56"/>
      <c r="O719" s="57"/>
      <c r="P719" s="56"/>
      <c r="Q719" s="56"/>
      <c r="R719" s="57"/>
      <c r="S719" s="56"/>
      <c r="T719" s="56"/>
      <c r="U719" s="56"/>
      <c r="V719" s="56"/>
      <c r="W719" s="56"/>
      <c r="X719" s="56"/>
      <c r="Y719" s="57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</row>
    <row r="720" spans="1:39" x14ac:dyDescent="0.4">
      <c r="A720" s="56"/>
      <c r="B720" s="59"/>
      <c r="C720" s="56"/>
      <c r="D720" s="56"/>
      <c r="E720" s="56"/>
      <c r="F720" s="57"/>
      <c r="G720" s="57"/>
      <c r="H720" s="57"/>
      <c r="I720" s="56"/>
      <c r="J720" s="56"/>
      <c r="K720" s="56"/>
      <c r="L720" s="56"/>
      <c r="M720" s="56"/>
      <c r="N720" s="56"/>
      <c r="O720" s="57"/>
      <c r="P720" s="56"/>
      <c r="Q720" s="57"/>
      <c r="R720" s="56"/>
      <c r="S720" s="56"/>
      <c r="T720" s="56"/>
      <c r="U720" s="56"/>
      <c r="V720" s="56"/>
      <c r="W720" s="56"/>
      <c r="X720" s="56"/>
      <c r="Y720" s="57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</row>
    <row r="721" spans="1:39" x14ac:dyDescent="0.4">
      <c r="A721" s="56"/>
      <c r="B721" s="59"/>
      <c r="C721" s="56"/>
      <c r="D721" s="56"/>
      <c r="E721" s="56"/>
      <c r="F721" s="57"/>
      <c r="G721" s="57"/>
      <c r="H721" s="57"/>
      <c r="I721" s="56"/>
      <c r="J721" s="56"/>
      <c r="K721" s="57"/>
      <c r="L721" s="56"/>
      <c r="M721" s="56"/>
      <c r="N721" s="56"/>
      <c r="O721" s="57"/>
      <c r="P721" s="56"/>
      <c r="Q721" s="56"/>
      <c r="R721" s="56"/>
      <c r="S721" s="56"/>
      <c r="T721" s="56"/>
      <c r="U721" s="56"/>
      <c r="V721" s="56"/>
      <c r="W721" s="56"/>
      <c r="X721" s="56"/>
      <c r="Y721" s="57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</row>
    <row r="722" spans="1:39" x14ac:dyDescent="0.4">
      <c r="A722" s="56"/>
      <c r="B722" s="59"/>
      <c r="C722" s="56"/>
      <c r="D722" s="56"/>
      <c r="E722" s="56"/>
      <c r="F722" s="57"/>
      <c r="G722" s="57"/>
      <c r="H722" s="57"/>
      <c r="I722" s="56"/>
      <c r="J722" s="56"/>
      <c r="K722" s="56"/>
      <c r="L722" s="56"/>
      <c r="M722" s="56"/>
      <c r="N722" s="56"/>
      <c r="O722" s="57"/>
      <c r="P722" s="56"/>
      <c r="Q722" s="56"/>
      <c r="R722" s="56"/>
      <c r="S722" s="56"/>
      <c r="T722" s="56"/>
      <c r="U722" s="56"/>
      <c r="V722" s="56"/>
      <c r="W722" s="56"/>
      <c r="X722" s="56"/>
      <c r="Y722" s="57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</row>
    <row r="723" spans="1:39" x14ac:dyDescent="0.4">
      <c r="A723" s="56"/>
      <c r="B723" s="59"/>
      <c r="C723" s="56"/>
      <c r="D723" s="56"/>
      <c r="E723" s="56"/>
      <c r="F723" s="57"/>
      <c r="G723" s="57"/>
      <c r="H723" s="57"/>
      <c r="I723" s="56"/>
      <c r="J723" s="56"/>
      <c r="K723" s="56"/>
      <c r="L723" s="56"/>
      <c r="M723" s="56"/>
      <c r="N723" s="56"/>
      <c r="O723" s="57"/>
      <c r="P723" s="56"/>
      <c r="Q723" s="56"/>
      <c r="R723" s="56"/>
      <c r="S723" s="56"/>
      <c r="T723" s="56"/>
      <c r="U723" s="56"/>
      <c r="V723" s="56"/>
      <c r="W723" s="56"/>
      <c r="X723" s="56"/>
      <c r="Y723" s="57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</row>
    <row r="724" spans="1:39" x14ac:dyDescent="0.4">
      <c r="A724" s="56"/>
      <c r="B724" s="59"/>
      <c r="C724" s="56"/>
      <c r="D724" s="56"/>
      <c r="E724" s="56"/>
      <c r="F724" s="57"/>
      <c r="G724" s="57"/>
      <c r="H724" s="57"/>
      <c r="I724" s="56"/>
      <c r="J724" s="56"/>
      <c r="K724" s="56"/>
      <c r="L724" s="56"/>
      <c r="M724" s="56"/>
      <c r="N724" s="56"/>
      <c r="O724" s="57"/>
      <c r="P724" s="56"/>
      <c r="Q724" s="56"/>
      <c r="R724" s="56"/>
      <c r="S724" s="56"/>
      <c r="T724" s="56"/>
      <c r="U724" s="56"/>
      <c r="V724" s="56"/>
      <c r="W724" s="56"/>
      <c r="X724" s="56"/>
      <c r="Y724" s="57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</row>
    <row r="725" spans="1:39" x14ac:dyDescent="0.4">
      <c r="A725" s="56"/>
      <c r="B725" s="59"/>
      <c r="C725" s="56"/>
      <c r="D725" s="56"/>
      <c r="E725" s="56"/>
      <c r="F725" s="57"/>
      <c r="G725" s="57"/>
      <c r="H725" s="57"/>
      <c r="I725" s="56"/>
      <c r="J725" s="56"/>
      <c r="K725" s="56"/>
      <c r="L725" s="57"/>
      <c r="M725" s="56"/>
      <c r="N725" s="56"/>
      <c r="O725" s="57"/>
      <c r="P725" s="56"/>
      <c r="Q725" s="56"/>
      <c r="R725" s="56"/>
      <c r="S725" s="56"/>
      <c r="T725" s="56"/>
      <c r="U725" s="56"/>
      <c r="V725" s="56"/>
      <c r="W725" s="56"/>
      <c r="X725" s="56"/>
      <c r="Y725" s="57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</row>
    <row r="726" spans="1:39" x14ac:dyDescent="0.4">
      <c r="A726" s="56"/>
      <c r="B726" s="59"/>
      <c r="C726" s="56"/>
      <c r="D726" s="56"/>
      <c r="E726" s="56"/>
      <c r="F726" s="57"/>
      <c r="G726" s="57"/>
      <c r="H726" s="57"/>
      <c r="I726" s="56"/>
      <c r="J726" s="56"/>
      <c r="K726" s="56"/>
      <c r="L726" s="56"/>
      <c r="M726" s="56"/>
      <c r="N726" s="57"/>
      <c r="O726" s="57"/>
      <c r="P726" s="56"/>
      <c r="Q726" s="56"/>
      <c r="R726" s="56"/>
      <c r="S726" s="56"/>
      <c r="T726" s="56"/>
      <c r="U726" s="56"/>
      <c r="V726" s="56"/>
      <c r="W726" s="56"/>
      <c r="X726" s="56"/>
      <c r="Y726" s="57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</row>
    <row r="727" spans="1:39" x14ac:dyDescent="0.4">
      <c r="A727" s="56"/>
      <c r="B727" s="59"/>
      <c r="C727" s="56"/>
      <c r="D727" s="56"/>
      <c r="E727" s="56"/>
      <c r="F727" s="57"/>
      <c r="G727" s="57"/>
      <c r="H727" s="57"/>
      <c r="I727" s="56"/>
      <c r="J727" s="56"/>
      <c r="K727" s="56"/>
      <c r="L727" s="56"/>
      <c r="M727" s="56"/>
      <c r="N727" s="56"/>
      <c r="O727" s="57"/>
      <c r="P727" s="56"/>
      <c r="Q727" s="56"/>
      <c r="R727" s="56"/>
      <c r="S727" s="56"/>
      <c r="T727" s="56"/>
      <c r="U727" s="56"/>
      <c r="V727" s="56"/>
      <c r="W727" s="56"/>
      <c r="X727" s="56"/>
      <c r="Y727" s="57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</row>
    <row r="728" spans="1:39" x14ac:dyDescent="0.4">
      <c r="A728" s="56"/>
      <c r="B728" s="59"/>
      <c r="C728" s="56"/>
      <c r="D728" s="56"/>
      <c r="E728" s="56"/>
      <c r="F728" s="57"/>
      <c r="G728" s="57"/>
      <c r="H728" s="57"/>
      <c r="I728" s="56"/>
      <c r="J728" s="56"/>
      <c r="K728" s="56"/>
      <c r="L728" s="56"/>
      <c r="M728" s="56"/>
      <c r="N728" s="56"/>
      <c r="O728" s="57"/>
      <c r="P728" s="56"/>
      <c r="Q728" s="56"/>
      <c r="R728" s="56"/>
      <c r="S728" s="56"/>
      <c r="T728" s="56"/>
      <c r="U728" s="56"/>
      <c r="V728" s="56"/>
      <c r="W728" s="56"/>
      <c r="X728" s="56"/>
      <c r="Y728" s="57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</row>
    <row r="729" spans="1:39" x14ac:dyDescent="0.4">
      <c r="A729" s="56"/>
      <c r="B729" s="59"/>
      <c r="C729" s="56"/>
      <c r="D729" s="56"/>
      <c r="E729" s="56"/>
      <c r="F729" s="57"/>
      <c r="G729" s="57"/>
      <c r="H729" s="57"/>
      <c r="I729" s="56"/>
      <c r="J729" s="56"/>
      <c r="K729" s="56"/>
      <c r="L729" s="56"/>
      <c r="M729" s="56"/>
      <c r="N729" s="56"/>
      <c r="O729" s="57"/>
      <c r="P729" s="56"/>
      <c r="Q729" s="56"/>
      <c r="R729" s="56"/>
      <c r="S729" s="56"/>
      <c r="T729" s="56"/>
      <c r="U729" s="56"/>
      <c r="V729" s="56"/>
      <c r="W729" s="56"/>
      <c r="X729" s="56"/>
      <c r="Y729" s="57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</row>
    <row r="730" spans="1:39" x14ac:dyDescent="0.4">
      <c r="A730" s="56"/>
      <c r="B730" s="59"/>
      <c r="C730" s="56"/>
      <c r="D730" s="56"/>
      <c r="E730" s="56"/>
      <c r="F730" s="57"/>
      <c r="G730" s="57"/>
      <c r="H730" s="57"/>
      <c r="I730" s="56"/>
      <c r="J730" s="56"/>
      <c r="K730" s="56"/>
      <c r="L730" s="56"/>
      <c r="M730" s="56"/>
      <c r="N730" s="56"/>
      <c r="O730" s="57"/>
      <c r="P730" s="56"/>
      <c r="Q730" s="56"/>
      <c r="R730" s="56"/>
      <c r="S730" s="56"/>
      <c r="T730" s="56"/>
      <c r="U730" s="56"/>
      <c r="V730" s="56"/>
      <c r="W730" s="56"/>
      <c r="X730" s="56"/>
      <c r="Y730" s="57"/>
      <c r="Z730" s="56"/>
      <c r="AA730" s="56"/>
      <c r="AB730" s="56"/>
      <c r="AC730" s="56"/>
      <c r="AD730" s="56"/>
      <c r="AE730" s="58"/>
      <c r="AF730" s="56"/>
      <c r="AG730" s="56"/>
      <c r="AH730" s="56"/>
      <c r="AI730" s="56"/>
      <c r="AJ730" s="56"/>
      <c r="AK730" s="56"/>
      <c r="AL730" s="56"/>
      <c r="AM730" s="58"/>
    </row>
    <row r="731" spans="1:39" x14ac:dyDescent="0.4">
      <c r="A731" s="56"/>
      <c r="B731" s="59"/>
      <c r="C731" s="56"/>
      <c r="D731" s="56"/>
      <c r="E731" s="56"/>
      <c r="F731" s="57"/>
      <c r="G731" s="57"/>
      <c r="H731" s="57"/>
      <c r="I731" s="56"/>
      <c r="J731" s="56"/>
      <c r="K731" s="56"/>
      <c r="L731" s="56"/>
      <c r="M731" s="56"/>
      <c r="N731" s="56"/>
      <c r="O731" s="57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</row>
    <row r="732" spans="1:39" x14ac:dyDescent="0.4">
      <c r="A732" s="56"/>
      <c r="B732" s="59"/>
      <c r="C732" s="56"/>
      <c r="D732" s="56"/>
      <c r="E732" s="56"/>
      <c r="F732" s="57"/>
      <c r="G732" s="57"/>
      <c r="H732" s="57"/>
      <c r="I732" s="56"/>
      <c r="J732" s="56"/>
      <c r="K732" s="56"/>
      <c r="L732" s="56"/>
      <c r="M732" s="56"/>
      <c r="N732" s="56"/>
      <c r="O732" s="57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</row>
    <row r="733" spans="1:39" x14ac:dyDescent="0.4">
      <c r="A733" s="56"/>
      <c r="B733" s="59"/>
      <c r="C733" s="56"/>
      <c r="D733" s="56"/>
      <c r="E733" s="56"/>
      <c r="F733" s="57"/>
      <c r="G733" s="57"/>
      <c r="H733" s="57"/>
      <c r="I733" s="56"/>
      <c r="J733" s="56"/>
      <c r="K733" s="56"/>
      <c r="L733" s="56"/>
      <c r="M733" s="56"/>
      <c r="N733" s="56"/>
      <c r="O733" s="57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</row>
    <row r="734" spans="1:39" x14ac:dyDescent="0.4">
      <c r="A734" s="56"/>
      <c r="B734" s="59"/>
      <c r="C734" s="56"/>
      <c r="D734" s="56"/>
      <c r="E734" s="56"/>
      <c r="F734" s="57"/>
      <c r="G734" s="57"/>
      <c r="H734" s="57"/>
      <c r="I734" s="56"/>
      <c r="J734" s="56"/>
      <c r="K734" s="56"/>
      <c r="L734" s="56"/>
      <c r="M734" s="56"/>
      <c r="N734" s="56"/>
      <c r="O734" s="57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</row>
    <row r="735" spans="1:39" x14ac:dyDescent="0.4">
      <c r="A735" s="56"/>
      <c r="B735" s="59"/>
      <c r="C735" s="56"/>
      <c r="D735" s="56"/>
      <c r="E735" s="56"/>
      <c r="F735" s="57"/>
      <c r="G735" s="57"/>
      <c r="H735" s="57"/>
      <c r="I735" s="56"/>
      <c r="J735" s="56"/>
      <c r="K735" s="56"/>
      <c r="L735" s="56"/>
      <c r="M735" s="56"/>
      <c r="N735" s="56"/>
      <c r="O735" s="57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</row>
    <row r="736" spans="1:39" x14ac:dyDescent="0.4">
      <c r="A736" s="56"/>
      <c r="B736" s="59"/>
      <c r="C736" s="56"/>
      <c r="D736" s="56"/>
      <c r="E736" s="56"/>
      <c r="F736" s="57"/>
      <c r="G736" s="57"/>
      <c r="H736" s="57"/>
      <c r="I736" s="56"/>
      <c r="J736" s="56"/>
      <c r="K736" s="56"/>
      <c r="L736" s="56"/>
      <c r="M736" s="56"/>
      <c r="N736" s="56"/>
      <c r="O736" s="57"/>
      <c r="P736" s="56"/>
      <c r="Q736" s="56"/>
      <c r="R736" s="56"/>
      <c r="S736" s="56"/>
      <c r="T736" s="56"/>
      <c r="U736" s="56"/>
      <c r="V736" s="56"/>
      <c r="W736" s="56"/>
      <c r="X736" s="56"/>
      <c r="Y736" s="57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</row>
    <row r="737" spans="1:39" x14ac:dyDescent="0.4">
      <c r="A737" s="56"/>
      <c r="B737" s="59"/>
      <c r="C737" s="56"/>
      <c r="D737" s="56"/>
      <c r="E737" s="56"/>
      <c r="F737" s="57"/>
      <c r="G737" s="57"/>
      <c r="H737" s="57"/>
      <c r="I737" s="56"/>
      <c r="J737" s="56"/>
      <c r="K737" s="56"/>
      <c r="L737" s="56"/>
      <c r="M737" s="56"/>
      <c r="N737" s="56"/>
      <c r="O737" s="57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</row>
    <row r="738" spans="1:39" x14ac:dyDescent="0.4">
      <c r="A738" s="56"/>
      <c r="B738" s="59"/>
      <c r="C738" s="56"/>
      <c r="D738" s="56"/>
      <c r="E738" s="56"/>
      <c r="F738" s="57"/>
      <c r="G738" s="57"/>
      <c r="H738" s="57"/>
      <c r="I738" s="56"/>
      <c r="J738" s="56"/>
      <c r="K738" s="56"/>
      <c r="L738" s="56"/>
      <c r="M738" s="56"/>
      <c r="N738" s="56"/>
      <c r="O738" s="57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</row>
    <row r="739" spans="1:39" x14ac:dyDescent="0.4">
      <c r="E739" s="56"/>
      <c r="F739" s="57"/>
      <c r="G739" s="57"/>
      <c r="H739" s="57"/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5A628-F7B9-45C6-9F06-9BBEBD008F6B}">
  <sheetPr codeName="Sheet4"/>
  <dimension ref="B1:CE162"/>
  <sheetViews>
    <sheetView topLeftCell="BQ1" workbookViewId="0">
      <selection activeCell="BS5" sqref="BS5"/>
    </sheetView>
  </sheetViews>
  <sheetFormatPr defaultRowHeight="18.75" x14ac:dyDescent="0.4"/>
  <cols>
    <col min="82" max="82" width="10.25" bestFit="1" customWidth="1"/>
  </cols>
  <sheetData>
    <row r="1" spans="79:83" x14ac:dyDescent="0.4">
      <c r="CA1" t="s">
        <v>155</v>
      </c>
      <c r="CB1">
        <v>172.5</v>
      </c>
      <c r="CD1" t="s">
        <v>220</v>
      </c>
    </row>
    <row r="2" spans="79:83" x14ac:dyDescent="0.4">
      <c r="CA2" t="s">
        <v>219</v>
      </c>
      <c r="CB2">
        <v>132</v>
      </c>
      <c r="CD2" t="s">
        <v>221</v>
      </c>
      <c r="CE2" t="s">
        <v>222</v>
      </c>
    </row>
    <row r="3" spans="79:83" x14ac:dyDescent="0.4">
      <c r="CA3" t="s">
        <v>997</v>
      </c>
      <c r="CE3" t="s">
        <v>223</v>
      </c>
    </row>
    <row r="4" spans="79:83" x14ac:dyDescent="0.4">
      <c r="CA4" t="s">
        <v>849</v>
      </c>
      <c r="CE4" t="s">
        <v>226</v>
      </c>
    </row>
    <row r="5" spans="79:83" x14ac:dyDescent="0.4">
      <c r="CA5" t="s">
        <v>102</v>
      </c>
      <c r="CE5" t="s">
        <v>227</v>
      </c>
    </row>
    <row r="99" spans="2:11" x14ac:dyDescent="0.4">
      <c r="B99" s="1" t="s">
        <v>0</v>
      </c>
      <c r="C99" s="2" t="s">
        <v>1</v>
      </c>
      <c r="D99" s="3" t="s">
        <v>66</v>
      </c>
      <c r="E99" s="1" t="s">
        <v>67</v>
      </c>
      <c r="G99" s="1"/>
      <c r="H99" s="1"/>
      <c r="I99" s="1" t="s">
        <v>107</v>
      </c>
      <c r="J99" s="1" t="s">
        <v>108</v>
      </c>
      <c r="K99" s="1" t="s">
        <v>109</v>
      </c>
    </row>
    <row r="100" spans="2:11" x14ac:dyDescent="0.4">
      <c r="B100" s="4" t="s">
        <v>2</v>
      </c>
      <c r="C100" s="4" t="s">
        <v>3</v>
      </c>
      <c r="D100" s="4"/>
      <c r="E100" s="4"/>
      <c r="G100" s="1" t="s">
        <v>111</v>
      </c>
      <c r="H100" s="1" t="s">
        <v>110</v>
      </c>
      <c r="I100" s="1">
        <v>54.5</v>
      </c>
      <c r="J100" s="1">
        <v>54.5</v>
      </c>
      <c r="K100" s="1">
        <v>0</v>
      </c>
    </row>
    <row r="101" spans="2:11" x14ac:dyDescent="0.4">
      <c r="B101" s="4" t="s">
        <v>68</v>
      </c>
      <c r="C101" s="4" t="s">
        <v>4</v>
      </c>
      <c r="D101" s="4"/>
      <c r="E101" s="4"/>
      <c r="G101" s="1" t="s">
        <v>111</v>
      </c>
      <c r="H101" s="1" t="s">
        <v>112</v>
      </c>
      <c r="I101" s="1">
        <v>27.2</v>
      </c>
      <c r="J101" s="1">
        <v>27.2</v>
      </c>
      <c r="K101" s="1">
        <v>0</v>
      </c>
    </row>
    <row r="102" spans="2:11" x14ac:dyDescent="0.4">
      <c r="B102" s="4" t="s">
        <v>5</v>
      </c>
      <c r="C102" s="4" t="s">
        <v>69</v>
      </c>
      <c r="D102" s="4"/>
      <c r="E102" s="4"/>
      <c r="G102" s="1" t="s">
        <v>111</v>
      </c>
      <c r="H102" s="1" t="s">
        <v>113</v>
      </c>
      <c r="I102" s="1">
        <v>16.5</v>
      </c>
      <c r="J102" s="1">
        <v>16.5</v>
      </c>
      <c r="K102" s="1">
        <v>0</v>
      </c>
    </row>
    <row r="103" spans="2:11" x14ac:dyDescent="0.4">
      <c r="B103" s="5" t="s">
        <v>6</v>
      </c>
      <c r="C103" s="5" t="s">
        <v>13</v>
      </c>
      <c r="D103" s="5">
        <v>8</v>
      </c>
      <c r="E103" s="4">
        <v>2</v>
      </c>
      <c r="G103" s="1" t="s">
        <v>115</v>
      </c>
      <c r="H103" s="1" t="s">
        <v>110</v>
      </c>
      <c r="I103" s="1">
        <v>63.4</v>
      </c>
      <c r="J103" s="1">
        <v>63.4</v>
      </c>
      <c r="K103" s="1">
        <v>0</v>
      </c>
    </row>
    <row r="104" spans="2:11" x14ac:dyDescent="0.4">
      <c r="B104" s="4" t="s">
        <v>14</v>
      </c>
      <c r="C104" s="5" t="s">
        <v>171</v>
      </c>
      <c r="D104" s="5">
        <v>3</v>
      </c>
      <c r="E104" s="4">
        <v>2</v>
      </c>
      <c r="G104" s="1" t="s">
        <v>115</v>
      </c>
      <c r="H104" s="1" t="s">
        <v>112</v>
      </c>
      <c r="I104" s="1">
        <v>32.6</v>
      </c>
      <c r="J104" s="1">
        <v>32.6</v>
      </c>
      <c r="K104" s="1">
        <v>0</v>
      </c>
    </row>
    <row r="105" spans="2:11" x14ac:dyDescent="0.4">
      <c r="B105" s="4" t="s">
        <v>15</v>
      </c>
      <c r="C105" s="5" t="s">
        <v>172</v>
      </c>
      <c r="D105" s="5">
        <v>29</v>
      </c>
      <c r="E105" s="4">
        <v>2</v>
      </c>
      <c r="G105" s="1" t="s">
        <v>115</v>
      </c>
      <c r="H105" s="1" t="s">
        <v>113</v>
      </c>
      <c r="I105" s="1">
        <v>18</v>
      </c>
      <c r="J105" s="1">
        <v>18</v>
      </c>
      <c r="K105" s="1">
        <v>0</v>
      </c>
    </row>
    <row r="106" spans="2:11" x14ac:dyDescent="0.4">
      <c r="B106" s="5" t="s">
        <v>16</v>
      </c>
      <c r="C106" s="5" t="s">
        <v>173</v>
      </c>
      <c r="D106" s="5">
        <v>14</v>
      </c>
      <c r="E106" s="4">
        <v>2</v>
      </c>
      <c r="G106" s="1" t="s">
        <v>115</v>
      </c>
      <c r="H106" s="1" t="s">
        <v>775</v>
      </c>
      <c r="I106" s="1">
        <v>2.1</v>
      </c>
      <c r="J106" s="1">
        <v>2.1</v>
      </c>
      <c r="K106" s="1">
        <v>0</v>
      </c>
    </row>
    <row r="107" spans="2:11" x14ac:dyDescent="0.4">
      <c r="B107" s="4" t="s">
        <v>17</v>
      </c>
      <c r="C107" s="4" t="s">
        <v>174</v>
      </c>
      <c r="D107" s="5"/>
      <c r="E107" s="4"/>
      <c r="G107" s="1" t="s">
        <v>115</v>
      </c>
      <c r="H107" s="1" t="s">
        <v>114</v>
      </c>
      <c r="I107" s="1">
        <v>0.8</v>
      </c>
      <c r="J107" s="1">
        <v>0.8</v>
      </c>
      <c r="K107" s="1">
        <v>0</v>
      </c>
    </row>
    <row r="108" spans="2:11" x14ac:dyDescent="0.4">
      <c r="B108" s="4" t="s">
        <v>7</v>
      </c>
      <c r="C108" s="4" t="s">
        <v>174</v>
      </c>
      <c r="D108" s="5">
        <v>16</v>
      </c>
      <c r="E108" s="4">
        <v>2</v>
      </c>
      <c r="G108" s="1" t="s">
        <v>116</v>
      </c>
      <c r="H108" s="1" t="s">
        <v>110</v>
      </c>
      <c r="I108" s="1">
        <v>63.4</v>
      </c>
      <c r="J108" s="1">
        <v>63.4</v>
      </c>
      <c r="K108" s="1">
        <v>0</v>
      </c>
    </row>
    <row r="109" spans="2:11" x14ac:dyDescent="0.4">
      <c r="B109" s="4" t="s">
        <v>18</v>
      </c>
      <c r="C109" s="4" t="s">
        <v>175</v>
      </c>
      <c r="D109" s="4"/>
      <c r="E109" s="4"/>
      <c r="G109" s="1" t="s">
        <v>116</v>
      </c>
      <c r="H109" s="1" t="s">
        <v>112</v>
      </c>
      <c r="I109" s="1">
        <v>32.6</v>
      </c>
      <c r="J109" s="1">
        <v>32.6</v>
      </c>
      <c r="K109" s="1">
        <v>0</v>
      </c>
    </row>
    <row r="110" spans="2:11" x14ac:dyDescent="0.4">
      <c r="B110" s="4" t="s">
        <v>19</v>
      </c>
      <c r="C110" s="4" t="s">
        <v>176</v>
      </c>
      <c r="D110" s="5">
        <v>37</v>
      </c>
      <c r="E110" s="4">
        <v>2</v>
      </c>
      <c r="G110" s="1" t="s">
        <v>116</v>
      </c>
      <c r="H110" s="1" t="s">
        <v>113</v>
      </c>
      <c r="I110" s="1">
        <v>18</v>
      </c>
      <c r="J110" s="1">
        <v>18</v>
      </c>
      <c r="K110" s="1">
        <v>0</v>
      </c>
    </row>
    <row r="111" spans="2:11" x14ac:dyDescent="0.4">
      <c r="B111" s="4" t="s">
        <v>8</v>
      </c>
      <c r="C111" s="4" t="s">
        <v>177</v>
      </c>
      <c r="D111" s="5">
        <v>38</v>
      </c>
      <c r="E111" s="4">
        <v>2</v>
      </c>
      <c r="G111" s="1" t="s">
        <v>116</v>
      </c>
      <c r="H111" s="1" t="s">
        <v>776</v>
      </c>
      <c r="I111" s="1">
        <v>2.1</v>
      </c>
      <c r="J111" s="1">
        <v>2.1</v>
      </c>
      <c r="K111" s="1">
        <v>0</v>
      </c>
    </row>
    <row r="112" spans="2:11" x14ac:dyDescent="0.4">
      <c r="B112" s="5" t="s">
        <v>20</v>
      </c>
      <c r="C112" s="5" t="s">
        <v>178</v>
      </c>
      <c r="D112" s="5">
        <v>39</v>
      </c>
      <c r="E112" s="4">
        <v>2</v>
      </c>
      <c r="G112" s="1" t="s">
        <v>116</v>
      </c>
      <c r="H112" s="1" t="s">
        <v>117</v>
      </c>
      <c r="I112" s="1">
        <v>0.8</v>
      </c>
      <c r="J112" s="1">
        <v>0.8</v>
      </c>
      <c r="K112" s="1">
        <v>0</v>
      </c>
    </row>
    <row r="113" spans="2:11" x14ac:dyDescent="0.4">
      <c r="B113" s="4" t="s">
        <v>9</v>
      </c>
      <c r="C113" s="4" t="s">
        <v>179</v>
      </c>
      <c r="D113" s="5">
        <v>40</v>
      </c>
      <c r="E113" s="4">
        <v>2</v>
      </c>
      <c r="G113" s="1" t="s">
        <v>118</v>
      </c>
      <c r="H113" s="1" t="s">
        <v>119</v>
      </c>
      <c r="I113" s="1">
        <v>-5.5</v>
      </c>
      <c r="J113" s="1">
        <v>-5.5</v>
      </c>
      <c r="K113" s="1">
        <v>0</v>
      </c>
    </row>
    <row r="114" spans="2:11" x14ac:dyDescent="0.4">
      <c r="B114" s="4" t="s">
        <v>21</v>
      </c>
      <c r="C114" s="4" t="s">
        <v>22</v>
      </c>
      <c r="D114" s="4"/>
      <c r="E114" s="6"/>
      <c r="G114" s="1" t="s">
        <v>118</v>
      </c>
      <c r="H114" s="1" t="s">
        <v>120</v>
      </c>
      <c r="I114" s="1">
        <v>-2.8</v>
      </c>
      <c r="J114" s="1">
        <v>-2.8</v>
      </c>
      <c r="K114" s="1">
        <v>0</v>
      </c>
    </row>
    <row r="115" spans="2:11" x14ac:dyDescent="0.4">
      <c r="B115" s="4" t="s">
        <v>23</v>
      </c>
      <c r="C115" s="5" t="s">
        <v>24</v>
      </c>
      <c r="D115" s="4"/>
      <c r="E115" s="4"/>
      <c r="G115" s="1" t="s">
        <v>121</v>
      </c>
      <c r="H115" s="1" t="s">
        <v>110</v>
      </c>
      <c r="I115" s="1">
        <v>42.9</v>
      </c>
      <c r="J115" s="1">
        <v>42.9</v>
      </c>
      <c r="K115" s="1">
        <v>0</v>
      </c>
    </row>
    <row r="116" spans="2:11" x14ac:dyDescent="0.4">
      <c r="B116" s="4" t="s">
        <v>25</v>
      </c>
      <c r="C116" s="4" t="s">
        <v>26</v>
      </c>
      <c r="D116" s="5"/>
      <c r="E116" s="4"/>
      <c r="G116" s="1" t="s">
        <v>121</v>
      </c>
      <c r="H116" s="1" t="s">
        <v>112</v>
      </c>
      <c r="I116" s="1">
        <v>24.3</v>
      </c>
      <c r="J116" s="1">
        <v>24.3</v>
      </c>
      <c r="K116" s="1">
        <v>0</v>
      </c>
    </row>
    <row r="117" spans="2:11" x14ac:dyDescent="0.4">
      <c r="B117" s="7" t="s">
        <v>27</v>
      </c>
      <c r="C117" s="4" t="s">
        <v>180</v>
      </c>
      <c r="D117" s="4">
        <v>12</v>
      </c>
      <c r="E117" s="5">
        <v>6</v>
      </c>
      <c r="G117" s="1" t="s">
        <v>121</v>
      </c>
      <c r="H117" s="1" t="s">
        <v>113</v>
      </c>
      <c r="I117" s="1">
        <v>12</v>
      </c>
      <c r="J117" s="1">
        <v>12</v>
      </c>
      <c r="K117" s="1">
        <v>0</v>
      </c>
    </row>
    <row r="118" spans="2:11" x14ac:dyDescent="0.4">
      <c r="B118" s="7" t="s">
        <v>28</v>
      </c>
      <c r="C118" s="4" t="s">
        <v>181</v>
      </c>
      <c r="D118" s="4">
        <v>13</v>
      </c>
      <c r="E118" s="5">
        <v>6</v>
      </c>
      <c r="G118" s="1" t="s">
        <v>123</v>
      </c>
      <c r="H118" s="1" t="s">
        <v>110</v>
      </c>
      <c r="I118" s="1">
        <v>43.4</v>
      </c>
      <c r="J118" s="1">
        <v>43.4</v>
      </c>
      <c r="K118" s="1">
        <v>0</v>
      </c>
    </row>
    <row r="119" spans="2:11" x14ac:dyDescent="0.4">
      <c r="B119" s="8" t="s">
        <v>29</v>
      </c>
      <c r="C119" s="4" t="s">
        <v>182</v>
      </c>
      <c r="D119" s="4">
        <v>2</v>
      </c>
      <c r="E119" s="4">
        <v>7</v>
      </c>
      <c r="G119" s="1" t="s">
        <v>123</v>
      </c>
      <c r="H119" s="1" t="s">
        <v>112</v>
      </c>
      <c r="I119" s="1">
        <v>24.5</v>
      </c>
      <c r="J119" s="1">
        <v>24.5</v>
      </c>
      <c r="K119" s="1">
        <v>0</v>
      </c>
    </row>
    <row r="120" spans="2:11" x14ac:dyDescent="0.4">
      <c r="B120" s="8" t="s">
        <v>30</v>
      </c>
      <c r="C120" s="4" t="s">
        <v>183</v>
      </c>
      <c r="D120" s="4"/>
      <c r="E120" s="4"/>
      <c r="G120" s="1" t="s">
        <v>123</v>
      </c>
      <c r="H120" s="1" t="s">
        <v>113</v>
      </c>
      <c r="I120" s="1">
        <v>12</v>
      </c>
      <c r="J120" s="1">
        <v>12</v>
      </c>
      <c r="K120" s="1">
        <v>0</v>
      </c>
    </row>
    <row r="121" spans="2:11" x14ac:dyDescent="0.4">
      <c r="B121" s="8" t="s">
        <v>31</v>
      </c>
      <c r="C121" s="4" t="s">
        <v>184</v>
      </c>
      <c r="D121" s="4">
        <v>3</v>
      </c>
      <c r="E121" s="4">
        <v>7</v>
      </c>
      <c r="G121" s="1" t="s">
        <v>124</v>
      </c>
      <c r="H121" s="1" t="s">
        <v>110</v>
      </c>
      <c r="I121" s="1">
        <v>4</v>
      </c>
      <c r="J121" s="1">
        <v>4</v>
      </c>
      <c r="K121" s="1">
        <v>0</v>
      </c>
    </row>
    <row r="122" spans="2:11" x14ac:dyDescent="0.4">
      <c r="B122" s="8" t="s">
        <v>32</v>
      </c>
      <c r="C122" s="4" t="s">
        <v>185</v>
      </c>
      <c r="D122" s="4">
        <v>4</v>
      </c>
      <c r="E122" s="4">
        <v>7</v>
      </c>
      <c r="G122" s="1" t="s">
        <v>124</v>
      </c>
      <c r="H122" s="1" t="s">
        <v>112</v>
      </c>
      <c r="I122" s="1">
        <v>2.5</v>
      </c>
      <c r="J122" s="1">
        <v>2.5</v>
      </c>
      <c r="K122" s="1">
        <v>0</v>
      </c>
    </row>
    <row r="123" spans="2:11" x14ac:dyDescent="0.4">
      <c r="B123" s="8" t="s">
        <v>33</v>
      </c>
      <c r="C123" s="4" t="s">
        <v>186</v>
      </c>
      <c r="D123" s="4"/>
      <c r="E123" s="4"/>
      <c r="G123" s="1" t="s">
        <v>125</v>
      </c>
      <c r="H123" s="1" t="s">
        <v>110</v>
      </c>
      <c r="I123" s="1">
        <v>40.1</v>
      </c>
      <c r="J123" s="1">
        <v>40.1</v>
      </c>
      <c r="K123" s="1">
        <v>0</v>
      </c>
    </row>
    <row r="124" spans="2:11" x14ac:dyDescent="0.4">
      <c r="B124" s="8" t="s">
        <v>34</v>
      </c>
      <c r="C124" s="4" t="s">
        <v>187</v>
      </c>
      <c r="D124" s="4">
        <v>5</v>
      </c>
      <c r="E124" s="4">
        <v>7</v>
      </c>
      <c r="G124" s="1" t="s">
        <v>125</v>
      </c>
      <c r="H124" s="1" t="s">
        <v>112</v>
      </c>
      <c r="I124" s="1">
        <v>24.1</v>
      </c>
      <c r="J124" s="1">
        <v>24.1</v>
      </c>
      <c r="K124" s="1">
        <v>0</v>
      </c>
    </row>
    <row r="125" spans="2:11" x14ac:dyDescent="0.4">
      <c r="B125" s="8" t="s">
        <v>35</v>
      </c>
      <c r="C125" s="4" t="s">
        <v>188</v>
      </c>
      <c r="D125" s="5">
        <v>6</v>
      </c>
      <c r="E125" s="4">
        <v>7</v>
      </c>
      <c r="G125" s="1" t="s">
        <v>125</v>
      </c>
      <c r="H125" s="1" t="s">
        <v>113</v>
      </c>
      <c r="I125" s="1">
        <v>12</v>
      </c>
      <c r="J125" s="1">
        <v>12</v>
      </c>
      <c r="K125" s="1">
        <v>0</v>
      </c>
    </row>
    <row r="126" spans="2:11" x14ac:dyDescent="0.4">
      <c r="B126" s="8" t="s">
        <v>36</v>
      </c>
      <c r="C126" s="4" t="s">
        <v>189</v>
      </c>
      <c r="D126" s="4">
        <v>7</v>
      </c>
      <c r="E126" s="5">
        <v>7</v>
      </c>
      <c r="G126" s="1" t="s">
        <v>126</v>
      </c>
      <c r="H126" s="1" t="s">
        <v>110</v>
      </c>
      <c r="I126" s="1">
        <v>40.6</v>
      </c>
      <c r="J126" s="1">
        <v>40.6</v>
      </c>
      <c r="K126" s="1">
        <v>0</v>
      </c>
    </row>
    <row r="127" spans="2:11" x14ac:dyDescent="0.4">
      <c r="B127" s="8" t="s">
        <v>37</v>
      </c>
      <c r="C127" s="4" t="s">
        <v>190</v>
      </c>
      <c r="D127" s="5">
        <v>8</v>
      </c>
      <c r="E127" s="5">
        <v>7</v>
      </c>
      <c r="G127" s="1" t="s">
        <v>126</v>
      </c>
      <c r="H127" s="1" t="s">
        <v>112</v>
      </c>
      <c r="I127" s="1">
        <v>24.4</v>
      </c>
      <c r="J127" s="1">
        <v>24.4</v>
      </c>
      <c r="K127" s="1">
        <v>0</v>
      </c>
    </row>
    <row r="128" spans="2:11" x14ac:dyDescent="0.4">
      <c r="B128" s="8" t="s">
        <v>38</v>
      </c>
      <c r="C128" s="4" t="s">
        <v>191</v>
      </c>
      <c r="D128" s="4">
        <v>9</v>
      </c>
      <c r="E128" s="4">
        <v>7</v>
      </c>
      <c r="G128" s="1" t="s">
        <v>126</v>
      </c>
      <c r="H128" s="1" t="s">
        <v>113</v>
      </c>
      <c r="I128" s="1">
        <v>10</v>
      </c>
      <c r="J128" s="1">
        <v>10</v>
      </c>
      <c r="K128" s="1">
        <v>0</v>
      </c>
    </row>
    <row r="129" spans="2:11" x14ac:dyDescent="0.4">
      <c r="B129" s="7" t="s">
        <v>39</v>
      </c>
      <c r="C129" s="4" t="s">
        <v>192</v>
      </c>
      <c r="D129" s="5">
        <v>10</v>
      </c>
      <c r="E129" s="4">
        <v>7</v>
      </c>
      <c r="G129" s="1" t="s">
        <v>127</v>
      </c>
      <c r="H129" s="1" t="s">
        <v>110</v>
      </c>
      <c r="I129" s="1">
        <v>41</v>
      </c>
      <c r="J129" s="1">
        <v>41</v>
      </c>
      <c r="K129" s="1">
        <v>0</v>
      </c>
    </row>
    <row r="130" spans="2:11" x14ac:dyDescent="0.4">
      <c r="B130" s="8" t="s">
        <v>40</v>
      </c>
      <c r="C130" s="4" t="s">
        <v>193</v>
      </c>
      <c r="D130" s="4"/>
      <c r="E130" s="6"/>
      <c r="G130" s="1" t="s">
        <v>127</v>
      </c>
      <c r="H130" s="1" t="s">
        <v>112</v>
      </c>
      <c r="I130" s="1">
        <v>23.1</v>
      </c>
      <c r="J130" s="1">
        <v>23.1</v>
      </c>
      <c r="K130" s="1">
        <v>0</v>
      </c>
    </row>
    <row r="131" spans="2:11" x14ac:dyDescent="0.4">
      <c r="B131" s="8" t="s">
        <v>41</v>
      </c>
      <c r="C131" s="4" t="s">
        <v>194</v>
      </c>
      <c r="D131" s="4"/>
      <c r="E131" s="6"/>
      <c r="G131" s="1" t="s">
        <v>127</v>
      </c>
      <c r="H131" s="1" t="s">
        <v>113</v>
      </c>
      <c r="I131" s="1">
        <v>10</v>
      </c>
      <c r="J131" s="1">
        <v>10</v>
      </c>
      <c r="K131" s="1">
        <v>0</v>
      </c>
    </row>
    <row r="132" spans="2:11" x14ac:dyDescent="0.4">
      <c r="B132" s="8" t="s">
        <v>42</v>
      </c>
      <c r="C132" s="4" t="s">
        <v>195</v>
      </c>
      <c r="D132" s="4"/>
      <c r="E132" s="5"/>
      <c r="G132" s="1" t="s">
        <v>129</v>
      </c>
      <c r="H132" s="1" t="s">
        <v>110</v>
      </c>
      <c r="I132" s="1">
        <v>41.5</v>
      </c>
      <c r="J132" s="1">
        <v>41.5</v>
      </c>
      <c r="K132" s="1">
        <v>0</v>
      </c>
    </row>
    <row r="133" spans="2:11" x14ac:dyDescent="0.4">
      <c r="B133" s="8" t="s">
        <v>43</v>
      </c>
      <c r="C133" s="4" t="s">
        <v>196</v>
      </c>
      <c r="D133" s="4"/>
      <c r="E133" s="5"/>
      <c r="G133" s="1" t="s">
        <v>129</v>
      </c>
      <c r="H133" s="1" t="s">
        <v>112</v>
      </c>
      <c r="I133" s="1">
        <v>23.3</v>
      </c>
      <c r="J133" s="1">
        <v>23.3</v>
      </c>
      <c r="K133" s="1">
        <v>0</v>
      </c>
    </row>
    <row r="134" spans="2:11" x14ac:dyDescent="0.4">
      <c r="B134" s="8" t="s">
        <v>44</v>
      </c>
      <c r="C134" s="4" t="s">
        <v>197</v>
      </c>
      <c r="D134" s="5"/>
      <c r="E134" s="5"/>
      <c r="G134" s="1" t="s">
        <v>129</v>
      </c>
      <c r="H134" s="1" t="s">
        <v>113</v>
      </c>
      <c r="I134" s="1">
        <v>10</v>
      </c>
      <c r="J134" s="1">
        <v>10</v>
      </c>
      <c r="K134" s="1">
        <v>0</v>
      </c>
    </row>
    <row r="135" spans="2:11" x14ac:dyDescent="0.4">
      <c r="B135" s="8" t="s">
        <v>45</v>
      </c>
      <c r="C135" s="4" t="s">
        <v>198</v>
      </c>
      <c r="D135" s="4"/>
      <c r="E135" s="5"/>
      <c r="G135" s="1" t="s">
        <v>130</v>
      </c>
      <c r="H135" s="1"/>
      <c r="I135" s="1">
        <v>14.5</v>
      </c>
      <c r="J135" s="1">
        <v>0</v>
      </c>
      <c r="K135" s="1">
        <v>14.5</v>
      </c>
    </row>
    <row r="136" spans="2:11" x14ac:dyDescent="0.4">
      <c r="B136" s="8" t="s">
        <v>46</v>
      </c>
      <c r="C136" s="4" t="s">
        <v>199</v>
      </c>
      <c r="D136" s="4"/>
      <c r="E136" s="5"/>
      <c r="G136" s="1" t="s">
        <v>131</v>
      </c>
      <c r="H136" s="1"/>
      <c r="I136" s="1">
        <v>20</v>
      </c>
      <c r="J136" s="1">
        <v>0</v>
      </c>
      <c r="K136" s="1">
        <v>20</v>
      </c>
    </row>
    <row r="137" spans="2:11" x14ac:dyDescent="0.4">
      <c r="B137" s="8" t="s">
        <v>47</v>
      </c>
      <c r="C137" s="4" t="s">
        <v>200</v>
      </c>
      <c r="D137" s="5"/>
      <c r="E137" s="4"/>
      <c r="G137" s="1"/>
      <c r="H137" s="1"/>
      <c r="I137" s="1"/>
      <c r="J137" s="1"/>
      <c r="K137" s="1"/>
    </row>
    <row r="138" spans="2:11" x14ac:dyDescent="0.4">
      <c r="B138" s="9" t="s">
        <v>10</v>
      </c>
      <c r="C138" s="1" t="s">
        <v>201</v>
      </c>
      <c r="D138" s="1"/>
      <c r="E138" s="1"/>
      <c r="G138" s="1" t="s">
        <v>132</v>
      </c>
      <c r="H138" s="1"/>
      <c r="I138" s="1"/>
      <c r="J138" s="1"/>
      <c r="K138" s="1"/>
    </row>
    <row r="139" spans="2:11" x14ac:dyDescent="0.4">
      <c r="B139" s="8" t="s">
        <v>48</v>
      </c>
      <c r="C139" s="4" t="s">
        <v>202</v>
      </c>
      <c r="D139" s="5"/>
      <c r="E139" s="4"/>
      <c r="G139" s="1" t="s">
        <v>133</v>
      </c>
      <c r="H139" s="1" t="s">
        <v>134</v>
      </c>
      <c r="I139" s="1">
        <v>48</v>
      </c>
      <c r="J139" s="1">
        <v>48</v>
      </c>
      <c r="K139" s="1">
        <v>0</v>
      </c>
    </row>
    <row r="140" spans="2:11" x14ac:dyDescent="0.4">
      <c r="B140" s="8" t="s">
        <v>49</v>
      </c>
      <c r="C140" s="4" t="s">
        <v>203</v>
      </c>
      <c r="D140" s="5"/>
      <c r="E140" s="4"/>
      <c r="G140" s="1" t="s">
        <v>133</v>
      </c>
      <c r="H140" s="1" t="s">
        <v>135</v>
      </c>
      <c r="I140" s="1">
        <v>24</v>
      </c>
      <c r="J140" s="1">
        <v>24</v>
      </c>
      <c r="K140" s="1">
        <v>0</v>
      </c>
    </row>
    <row r="141" spans="2:11" x14ac:dyDescent="0.4">
      <c r="B141" s="8" t="s">
        <v>50</v>
      </c>
      <c r="C141" s="4" t="s">
        <v>204</v>
      </c>
      <c r="D141" s="4"/>
      <c r="E141" s="4"/>
      <c r="G141" s="1" t="s">
        <v>133</v>
      </c>
      <c r="H141" s="1" t="s">
        <v>136</v>
      </c>
      <c r="I141" s="1">
        <v>0</v>
      </c>
      <c r="J141" s="1">
        <v>0</v>
      </c>
      <c r="K141" s="1">
        <v>0</v>
      </c>
    </row>
    <row r="142" spans="2:11" x14ac:dyDescent="0.4">
      <c r="B142" s="8" t="s">
        <v>51</v>
      </c>
      <c r="C142" s="4" t="s">
        <v>205</v>
      </c>
      <c r="D142" s="4"/>
      <c r="E142" s="5"/>
      <c r="G142" s="1" t="s">
        <v>137</v>
      </c>
      <c r="H142" s="1" t="s">
        <v>134</v>
      </c>
      <c r="I142" s="1">
        <v>35</v>
      </c>
      <c r="J142" s="1">
        <v>35</v>
      </c>
      <c r="K142" s="1">
        <v>0</v>
      </c>
    </row>
    <row r="143" spans="2:11" x14ac:dyDescent="0.4">
      <c r="B143" s="8" t="s">
        <v>52</v>
      </c>
      <c r="C143" s="4" t="s">
        <v>206</v>
      </c>
      <c r="D143" s="4"/>
      <c r="E143" s="5"/>
      <c r="G143" s="1" t="s">
        <v>137</v>
      </c>
      <c r="H143" s="1" t="s">
        <v>135</v>
      </c>
      <c r="I143" s="1">
        <v>18</v>
      </c>
      <c r="J143" s="1">
        <v>18</v>
      </c>
      <c r="K143" s="1">
        <v>0</v>
      </c>
    </row>
    <row r="144" spans="2:11" x14ac:dyDescent="0.4">
      <c r="B144" s="8" t="s">
        <v>53</v>
      </c>
      <c r="C144" s="4" t="s">
        <v>207</v>
      </c>
      <c r="D144" s="5"/>
      <c r="E144" s="4"/>
      <c r="G144" s="1" t="s">
        <v>137</v>
      </c>
      <c r="H144" s="1" t="s">
        <v>136</v>
      </c>
      <c r="I144" s="1">
        <v>0</v>
      </c>
      <c r="J144" s="1">
        <v>0</v>
      </c>
      <c r="K144" s="1">
        <v>0</v>
      </c>
    </row>
    <row r="145" spans="2:11" x14ac:dyDescent="0.4">
      <c r="B145" s="8" t="s">
        <v>54</v>
      </c>
      <c r="C145" s="4" t="s">
        <v>208</v>
      </c>
      <c r="D145" s="4"/>
      <c r="E145" s="5"/>
      <c r="G145" s="1" t="s">
        <v>138</v>
      </c>
      <c r="H145" s="1" t="s">
        <v>134</v>
      </c>
      <c r="I145" s="1">
        <v>48.6</v>
      </c>
      <c r="J145" s="1">
        <v>48</v>
      </c>
      <c r="K145" s="1">
        <v>0.6</v>
      </c>
    </row>
    <row r="146" spans="2:11" x14ac:dyDescent="0.4">
      <c r="B146" s="8" t="s">
        <v>55</v>
      </c>
      <c r="C146" s="4" t="s">
        <v>209</v>
      </c>
      <c r="D146" s="4"/>
      <c r="E146" s="5"/>
      <c r="G146" s="1" t="s">
        <v>138</v>
      </c>
      <c r="H146" s="1" t="s">
        <v>135</v>
      </c>
      <c r="I146" s="1">
        <v>24.3</v>
      </c>
      <c r="J146" s="1">
        <v>24</v>
      </c>
      <c r="K146" s="1">
        <v>0.3</v>
      </c>
    </row>
    <row r="147" spans="2:11" x14ac:dyDescent="0.4">
      <c r="B147" s="8" t="s">
        <v>56</v>
      </c>
      <c r="C147" s="4" t="s">
        <v>210</v>
      </c>
      <c r="D147" s="4"/>
      <c r="E147" s="5"/>
      <c r="G147" s="1" t="s">
        <v>138</v>
      </c>
      <c r="H147" s="1" t="s">
        <v>139</v>
      </c>
      <c r="I147" s="1">
        <v>2</v>
      </c>
      <c r="J147" s="1">
        <v>0</v>
      </c>
      <c r="K147" s="1">
        <v>2</v>
      </c>
    </row>
    <row r="148" spans="2:11" x14ac:dyDescent="0.4">
      <c r="B148" s="8" t="s">
        <v>57</v>
      </c>
      <c r="C148" s="4" t="s">
        <v>211</v>
      </c>
      <c r="D148" s="4"/>
      <c r="E148" s="5"/>
      <c r="G148" s="1" t="s">
        <v>140</v>
      </c>
      <c r="H148" s="1" t="s">
        <v>110</v>
      </c>
      <c r="I148" s="1">
        <v>50.6</v>
      </c>
      <c r="J148" s="1">
        <v>50</v>
      </c>
      <c r="K148" s="1">
        <v>0.6</v>
      </c>
    </row>
    <row r="149" spans="2:11" x14ac:dyDescent="0.4">
      <c r="B149" s="8" t="s">
        <v>11</v>
      </c>
      <c r="C149" s="4" t="s">
        <v>212</v>
      </c>
      <c r="D149" s="4"/>
      <c r="E149" s="5"/>
      <c r="G149" s="1" t="s">
        <v>140</v>
      </c>
      <c r="H149" s="1" t="s">
        <v>112</v>
      </c>
      <c r="I149" s="1">
        <v>25.3</v>
      </c>
      <c r="J149" s="1">
        <v>25</v>
      </c>
      <c r="K149" s="1">
        <v>0.3</v>
      </c>
    </row>
    <row r="150" spans="2:11" x14ac:dyDescent="0.4">
      <c r="B150" s="8" t="s">
        <v>58</v>
      </c>
      <c r="C150" s="4" t="s">
        <v>213</v>
      </c>
      <c r="D150" s="4"/>
      <c r="E150" s="5"/>
      <c r="G150" s="1" t="s">
        <v>140</v>
      </c>
      <c r="H150" s="1" t="s">
        <v>113</v>
      </c>
      <c r="I150" s="1">
        <v>2</v>
      </c>
      <c r="J150" s="1">
        <v>0</v>
      </c>
      <c r="K150" s="1">
        <v>2</v>
      </c>
    </row>
    <row r="151" spans="2:11" x14ac:dyDescent="0.4">
      <c r="B151" s="8" t="s">
        <v>59</v>
      </c>
      <c r="C151" s="4" t="s">
        <v>214</v>
      </c>
      <c r="D151" s="4"/>
      <c r="E151" s="5"/>
      <c r="G151" s="1" t="s">
        <v>141</v>
      </c>
      <c r="H151" s="1" t="s">
        <v>134</v>
      </c>
      <c r="I151" s="1">
        <v>35.6</v>
      </c>
      <c r="J151" s="1">
        <v>35</v>
      </c>
      <c r="K151" s="1">
        <v>0.6</v>
      </c>
    </row>
    <row r="152" spans="2:11" x14ac:dyDescent="0.4">
      <c r="B152" s="8" t="s">
        <v>60</v>
      </c>
      <c r="C152" s="4" t="s">
        <v>215</v>
      </c>
      <c r="D152" s="4"/>
      <c r="E152" s="5"/>
      <c r="G152" s="1" t="s">
        <v>141</v>
      </c>
      <c r="H152" s="1" t="s">
        <v>135</v>
      </c>
      <c r="I152" s="1">
        <v>18.3</v>
      </c>
      <c r="J152" s="1">
        <v>18</v>
      </c>
      <c r="K152" s="1">
        <v>0.3</v>
      </c>
    </row>
    <row r="153" spans="2:11" x14ac:dyDescent="0.4">
      <c r="B153" s="8" t="s">
        <v>61</v>
      </c>
      <c r="C153" s="4" t="s">
        <v>216</v>
      </c>
      <c r="D153" s="4"/>
      <c r="E153" s="5"/>
      <c r="G153" s="1" t="s">
        <v>141</v>
      </c>
      <c r="H153" s="1" t="s">
        <v>139</v>
      </c>
      <c r="I153" s="1">
        <v>2</v>
      </c>
      <c r="J153" s="1">
        <v>0</v>
      </c>
      <c r="K153" s="1">
        <v>2</v>
      </c>
    </row>
    <row r="154" spans="2:11" x14ac:dyDescent="0.4">
      <c r="B154" s="8" t="s">
        <v>62</v>
      </c>
      <c r="C154" s="4" t="s">
        <v>217</v>
      </c>
      <c r="D154" s="5"/>
      <c r="E154" s="5"/>
      <c r="G154" s="1" t="s">
        <v>142</v>
      </c>
      <c r="H154" s="1" t="s">
        <v>134</v>
      </c>
      <c r="I154" s="1">
        <v>42.6</v>
      </c>
      <c r="J154" s="1">
        <v>42</v>
      </c>
      <c r="K154" s="1">
        <v>0.6</v>
      </c>
    </row>
    <row r="155" spans="2:11" x14ac:dyDescent="0.4">
      <c r="B155" s="8" t="s">
        <v>63</v>
      </c>
      <c r="C155" s="4" t="s">
        <v>218</v>
      </c>
      <c r="D155" s="5"/>
      <c r="E155" s="5"/>
      <c r="G155" s="1" t="s">
        <v>142</v>
      </c>
      <c r="H155" s="1" t="s">
        <v>135</v>
      </c>
      <c r="I155" s="1">
        <v>21.3</v>
      </c>
      <c r="J155" s="1">
        <v>21</v>
      </c>
      <c r="K155" s="1">
        <v>0.3</v>
      </c>
    </row>
    <row r="156" spans="2:11" x14ac:dyDescent="0.4">
      <c r="B156" s="8" t="s">
        <v>12</v>
      </c>
      <c r="C156" s="4" t="s">
        <v>64</v>
      </c>
      <c r="D156" s="4"/>
      <c r="E156" s="5"/>
      <c r="G156" s="1" t="s">
        <v>142</v>
      </c>
      <c r="H156" s="1" t="s">
        <v>139</v>
      </c>
      <c r="I156" s="1">
        <v>2</v>
      </c>
      <c r="J156" s="1">
        <v>0</v>
      </c>
      <c r="K156" s="1">
        <v>2</v>
      </c>
    </row>
    <row r="157" spans="2:11" x14ac:dyDescent="0.4">
      <c r="B157" s="8"/>
      <c r="C157" s="4" t="s">
        <v>65</v>
      </c>
      <c r="D157" s="4"/>
      <c r="E157" s="4"/>
      <c r="G157" s="1" t="s">
        <v>143</v>
      </c>
      <c r="H157" s="1" t="s">
        <v>134</v>
      </c>
      <c r="I157" s="1">
        <v>5</v>
      </c>
      <c r="J157" s="1">
        <v>5</v>
      </c>
      <c r="K157" s="1">
        <v>0</v>
      </c>
    </row>
    <row r="158" spans="2:11" x14ac:dyDescent="0.4">
      <c r="B158" s="4"/>
      <c r="C158" s="5" t="s">
        <v>65</v>
      </c>
      <c r="D158" s="4"/>
      <c r="E158" s="4"/>
      <c r="G158" s="1" t="s">
        <v>774</v>
      </c>
      <c r="H158" s="1" t="s">
        <v>135</v>
      </c>
      <c r="I158" s="1">
        <v>2.5</v>
      </c>
      <c r="J158" s="1">
        <v>2.5</v>
      </c>
      <c r="K158" s="1">
        <v>0</v>
      </c>
    </row>
    <row r="159" spans="2:11" x14ac:dyDescent="0.4">
      <c r="B159" s="5"/>
      <c r="C159" s="5" t="s">
        <v>65</v>
      </c>
      <c r="D159" s="4"/>
      <c r="E159" s="4"/>
      <c r="G159" s="1"/>
      <c r="H159" s="1"/>
      <c r="I159" s="1"/>
      <c r="J159" s="1"/>
      <c r="K159" s="1"/>
    </row>
    <row r="160" spans="2:11" x14ac:dyDescent="0.4">
      <c r="B160" s="4"/>
      <c r="C160" s="5" t="s">
        <v>65</v>
      </c>
      <c r="D160" s="5"/>
      <c r="E160" s="4"/>
      <c r="G160" s="1" t="s">
        <v>777</v>
      </c>
      <c r="H160" s="1"/>
      <c r="I160" s="1"/>
      <c r="J160" s="1"/>
      <c r="K160" s="1"/>
    </row>
    <row r="161" spans="2:11" x14ac:dyDescent="0.4">
      <c r="B161" s="4"/>
      <c r="C161" s="5" t="s">
        <v>65</v>
      </c>
      <c r="D161" s="5"/>
      <c r="E161" s="4"/>
      <c r="G161" s="1" t="s">
        <v>778</v>
      </c>
      <c r="H161" s="1">
        <v>-7</v>
      </c>
      <c r="I161" s="1"/>
      <c r="J161" s="1"/>
      <c r="K161" s="1"/>
    </row>
    <row r="162" spans="2:11" x14ac:dyDescent="0.4">
      <c r="B162" s="4"/>
      <c r="C162" s="5" t="s">
        <v>65</v>
      </c>
      <c r="D162" s="4"/>
      <c r="E162" s="5"/>
      <c r="G162" s="1" t="s">
        <v>779</v>
      </c>
      <c r="H162" s="1">
        <v>-17</v>
      </c>
      <c r="I162" s="1"/>
      <c r="J162" s="1"/>
      <c r="K162" s="1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10B06E-E2A1-4CA7-BDAA-59BE405D46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メニュー</vt:lpstr>
      <vt:lpstr>比較・外壁差額</vt:lpstr>
      <vt:lpstr>積算_260401-224646</vt:lpstr>
      <vt:lpstr>積算_260401-211254</vt:lpstr>
      <vt:lpstr>クリア</vt:lpstr>
      <vt:lpstr>比較・外壁差額!Print_Area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坂江保</dc:creator>
  <cp:keywords/>
  <dc:description/>
  <cp:lastModifiedBy>sync cross</cp:lastModifiedBy>
  <cp:revision/>
  <cp:lastPrinted>2026-03-26T14:24:41Z</cp:lastPrinted>
  <dcterms:created xsi:type="dcterms:W3CDTF">2022-07-30T09:22:28Z</dcterms:created>
  <dcterms:modified xsi:type="dcterms:W3CDTF">2026-04-01T13:57:25Z</dcterms:modified>
  <cp:category/>
  <cp:contentStatus/>
</cp:coreProperties>
</file>